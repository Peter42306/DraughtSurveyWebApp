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rveyor\PRECISE\2025 08 06 SAXONA - DS - Constanta\"/>
    </mc:Choice>
  </mc:AlternateContent>
  <xr:revisionPtr revIDLastSave="0" documentId="13_ncr:1_{174CD593-757A-4365-97A2-454F6E9AAF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CISE" sheetId="3" r:id="rId1"/>
  </sheets>
  <definedNames>
    <definedName name="_Fill">#REF!</definedName>
    <definedName name="ATrim">#REF!</definedName>
    <definedName name="BShip">#REF!</definedName>
    <definedName name="DENSITY">#REF!</definedName>
    <definedName name="DTrim">#REF!</definedName>
    <definedName name="LB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F16" i="3"/>
  <c r="F12" i="3"/>
  <c r="F11" i="3"/>
  <c r="F37" i="3" l="1"/>
  <c r="B43" i="3"/>
  <c r="C42" i="3"/>
  <c r="B42" i="3"/>
  <c r="C41" i="3"/>
  <c r="B40" i="3"/>
  <c r="C39" i="3"/>
  <c r="B39" i="3"/>
  <c r="B38" i="3"/>
  <c r="F36" i="3"/>
  <c r="F35" i="3"/>
  <c r="F34" i="3"/>
  <c r="F28" i="3"/>
  <c r="G28" i="3" s="1"/>
  <c r="F27" i="3"/>
  <c r="G27" i="3" s="1"/>
  <c r="G26" i="3"/>
  <c r="G25" i="3"/>
  <c r="F25" i="3"/>
  <c r="C24" i="3"/>
  <c r="B24" i="3"/>
  <c r="G23" i="3"/>
  <c r="F23" i="3"/>
  <c r="C23" i="3"/>
  <c r="B23" i="3"/>
  <c r="G22" i="3"/>
  <c r="F22" i="3"/>
  <c r="C18" i="3"/>
  <c r="B18" i="3"/>
  <c r="C17" i="3"/>
  <c r="B17" i="3"/>
  <c r="F13" i="3"/>
  <c r="C13" i="3"/>
  <c r="B13" i="3"/>
  <c r="C12" i="3"/>
  <c r="B12" i="3"/>
  <c r="B35" i="3"/>
  <c r="C43" i="3"/>
  <c r="C40" i="3"/>
  <c r="C38" i="3"/>
  <c r="B41" i="3"/>
  <c r="G35" i="3"/>
  <c r="B19" i="3"/>
  <c r="G36" i="3"/>
  <c r="B25" i="3"/>
  <c r="G34" i="3"/>
  <c r="B14" i="3"/>
  <c r="B44" i="3" l="1"/>
  <c r="C35" i="3"/>
  <c r="G37" i="3"/>
  <c r="C14" i="3"/>
  <c r="C25" i="3"/>
  <c r="C19" i="3"/>
  <c r="C44" i="3" l="1"/>
  <c r="G38" i="3"/>
  <c r="F38" i="3"/>
  <c r="B15" i="3" l="1"/>
  <c r="B16" i="3"/>
  <c r="B26" i="3"/>
  <c r="B20" i="3"/>
  <c r="C15" i="3"/>
  <c r="C16" i="3"/>
  <c r="C20" i="3"/>
  <c r="C26" i="3"/>
  <c r="C21" i="3" l="1"/>
  <c r="C22" i="3" s="1"/>
  <c r="B27" i="3"/>
  <c r="C27" i="3"/>
  <c r="B21" i="3"/>
  <c r="B22" i="3" s="1"/>
  <c r="C28" i="3" l="1"/>
  <c r="B29" i="3"/>
  <c r="G39" i="3"/>
  <c r="B28" i="3"/>
  <c r="F39" i="3"/>
  <c r="C29" i="3"/>
  <c r="G32" i="3" l="1"/>
  <c r="G30" i="3"/>
  <c r="F30" i="3"/>
  <c r="F32" i="3"/>
  <c r="F29" i="3" l="1"/>
  <c r="B32" i="3"/>
  <c r="B31" i="3"/>
  <c r="C30" i="3"/>
  <c r="G29" i="3"/>
  <c r="C31" i="3"/>
  <c r="B30" i="3"/>
  <c r="F31" i="3"/>
  <c r="F33" i="3" s="1"/>
  <c r="G31" i="3"/>
  <c r="G33" i="3" s="1"/>
  <c r="C32" i="3"/>
  <c r="B33" i="3" l="1"/>
  <c r="B34" i="3" l="1"/>
  <c r="C33" i="3"/>
  <c r="B36" i="3" l="1"/>
  <c r="C34" i="3"/>
  <c r="B37" i="3" l="1"/>
  <c r="C37" i="3"/>
  <c r="C36" i="3"/>
  <c r="C48" i="3" l="1"/>
</calcChain>
</file>

<file path=xl/sharedStrings.xml><?xml version="1.0" encoding="utf-8"?>
<sst xmlns="http://schemas.openxmlformats.org/spreadsheetml/2006/main" count="77" uniqueCount="74">
  <si>
    <t>TPC</t>
  </si>
  <si>
    <t>LCF</t>
  </si>
  <si>
    <t>DRAFT SURVEY REPORT No.</t>
  </si>
  <si>
    <t>INITIAL</t>
  </si>
  <si>
    <t>FINAL</t>
  </si>
  <si>
    <t>Vessel</t>
  </si>
  <si>
    <t>Draft FWD Port</t>
  </si>
  <si>
    <t>Cargo</t>
  </si>
  <si>
    <t>Draft FWD Stb</t>
  </si>
  <si>
    <t>B/L Quantity</t>
  </si>
  <si>
    <t>Draft FWD Mean</t>
  </si>
  <si>
    <t>Shipper</t>
  </si>
  <si>
    <t>-</t>
  </si>
  <si>
    <t>Correction FWD PP</t>
  </si>
  <si>
    <t>Consignee</t>
  </si>
  <si>
    <t>Draft FWD Corrected</t>
  </si>
  <si>
    <t>Load Port</t>
  </si>
  <si>
    <t>Draft AFT Port</t>
  </si>
  <si>
    <t>Dicharge Port</t>
  </si>
  <si>
    <t>Draft AFT Stb</t>
  </si>
  <si>
    <t>Draft AFT Mean</t>
  </si>
  <si>
    <t>Correction AFT PP</t>
  </si>
  <si>
    <t>Draft AFT Corrected</t>
  </si>
  <si>
    <t>FWD and AFT Mean</t>
  </si>
  <si>
    <t>Date</t>
  </si>
  <si>
    <t>Draft Midship Port</t>
  </si>
  <si>
    <t>Time</t>
  </si>
  <si>
    <t>Draft Midship Stb</t>
  </si>
  <si>
    <t>State of sea</t>
  </si>
  <si>
    <t>Draft Midship Mean</t>
  </si>
  <si>
    <t>Obs. density</t>
  </si>
  <si>
    <t>Correction Midship PP</t>
  </si>
  <si>
    <t>Table density</t>
  </si>
  <si>
    <t>Draft Midship Corrected</t>
  </si>
  <si>
    <t>Light Ship</t>
  </si>
  <si>
    <t>Mean of Means</t>
  </si>
  <si>
    <t>LBP</t>
  </si>
  <si>
    <t>Double Mean of Means</t>
  </si>
  <si>
    <t>Displacement</t>
  </si>
  <si>
    <t>1st Trim Correction</t>
  </si>
  <si>
    <t>MTC +0.5</t>
  </si>
  <si>
    <t>2nd Trim Correction</t>
  </si>
  <si>
    <t>MTC  -0.5</t>
  </si>
  <si>
    <t>Corrected Displacement</t>
  </si>
  <si>
    <t>dM/dZ</t>
  </si>
  <si>
    <t>Gross Displacement</t>
  </si>
  <si>
    <t>d FWD</t>
  </si>
  <si>
    <t>Known Weight</t>
  </si>
  <si>
    <t>d AFT</t>
  </si>
  <si>
    <t>Net Displacement</t>
  </si>
  <si>
    <t>d MID</t>
  </si>
  <si>
    <t>Constant + Cargo</t>
  </si>
  <si>
    <t>LBM</t>
  </si>
  <si>
    <t>Fuel Oil</t>
  </si>
  <si>
    <t>Trim</t>
  </si>
  <si>
    <t>Diesel Oil</t>
  </si>
  <si>
    <t>Corr. Trim</t>
  </si>
  <si>
    <t>Lubricating oil</t>
  </si>
  <si>
    <t>Ballast Water</t>
  </si>
  <si>
    <t>Fresh Water</t>
  </si>
  <si>
    <t>Remarks ______________________________</t>
  </si>
  <si>
    <t>Other</t>
  </si>
  <si>
    <t>Total Known Weights</t>
  </si>
  <si>
    <t>TOTAL WEIGHT OF CARGO</t>
  </si>
  <si>
    <t>MTS</t>
  </si>
  <si>
    <t>MASTER/CH.OFFICER</t>
  </si>
  <si>
    <t xml:space="preserve">                                                    </t>
  </si>
  <si>
    <t>On behalf of PRECISE</t>
  </si>
  <si>
    <t xml:space="preserve">                                                     </t>
  </si>
  <si>
    <t>(signature &amp; stamp)</t>
  </si>
  <si>
    <t>(signature)</t>
  </si>
  <si>
    <t>Member of Ukrainian Chamber of Commerce and Industry</t>
  </si>
  <si>
    <t>11, Drugyi Nayavnyi Str, 65006 Odessa, Ukraine tel.: +380 48 771 36 52 +380 67 480 4762 office@precise.com.ua</t>
  </si>
  <si>
    <t>4480-0825/PZ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</si>
</sst>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"/>
    <numFmt numFmtId="166" formatCode="#,##0.000"/>
    <numFmt numFmtId="167" formatCode="#,##0.000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imes"/>
    </font>
    <font>
      <b/>
      <i/>
      <sz val="14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4" fillId="0" borderId="4" xfId="0" applyFont="1" applyBorder="1"/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166" fontId="1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166" fontId="1" fillId="0" borderId="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wrapText="1"/>
    </xf>
    <xf numFmtId="14" fontId="1" fillId="0" borderId="19" xfId="0" applyNumberFormat="1" applyFont="1" applyBorder="1" applyAlignment="1">
      <alignment horizontal="center" wrapText="1"/>
    </xf>
    <xf numFmtId="14" fontId="1" fillId="0" borderId="13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left" wrapText="1"/>
    </xf>
    <xf numFmtId="20" fontId="1" fillId="0" borderId="17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left" wrapText="1"/>
    </xf>
    <xf numFmtId="167" fontId="1" fillId="0" borderId="11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wrapText="1"/>
    </xf>
    <xf numFmtId="166" fontId="1" fillId="0" borderId="11" xfId="0" applyNumberFormat="1" applyFont="1" applyBorder="1" applyAlignment="1">
      <alignment horizontal="center" wrapText="1"/>
    </xf>
    <xf numFmtId="166" fontId="1" fillId="0" borderId="9" xfId="0" applyNumberFormat="1" applyFont="1" applyBorder="1" applyAlignment="1">
      <alignment horizontal="center" wrapText="1"/>
    </xf>
    <xf numFmtId="0" fontId="2" fillId="0" borderId="12" xfId="0" applyFont="1" applyBorder="1" applyAlignment="1">
      <alignment vertical="center" wrapText="1"/>
    </xf>
    <xf numFmtId="166" fontId="1" fillId="0" borderId="12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17" xfId="0" applyNumberFormat="1" applyFont="1" applyBorder="1" applyAlignment="1">
      <alignment horizontal="center" wrapText="1"/>
    </xf>
    <xf numFmtId="166" fontId="1" fillId="0" borderId="15" xfId="0" applyNumberFormat="1" applyFont="1" applyBorder="1" applyAlignment="1">
      <alignment horizontal="center" wrapText="1"/>
    </xf>
    <xf numFmtId="0" fontId="7" fillId="0" borderId="0" xfId="0" applyFont="1"/>
    <xf numFmtId="0" fontId="10" fillId="2" borderId="1" xfId="0" applyFont="1" applyFill="1" applyBorder="1"/>
    <xf numFmtId="0" fontId="3" fillId="0" borderId="3" xfId="0" applyFont="1" applyBorder="1"/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166" fontId="1" fillId="0" borderId="10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4" xfId="0" applyFont="1" applyBorder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868680</xdr:colOff>
      <xdr:row>46</xdr:row>
      <xdr:rowOff>24765</xdr:rowOff>
    </xdr:from>
    <xdr:ext cx="1790700" cy="1000125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21555" y="8625840"/>
          <a:ext cx="179070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441960</xdr:colOff>
      <xdr:row>0</xdr:row>
      <xdr:rowOff>106680</xdr:rowOff>
    </xdr:from>
    <xdr:ext cx="2428875" cy="895350"/>
    <xdr:pic>
      <xdr:nvPicPr>
        <xdr:cNvPr id="3" name="image1.png" descr="precise bw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27860" y="106680"/>
          <a:ext cx="2428875" cy="895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Z1000"/>
  <sheetViews>
    <sheetView tabSelected="1" topLeftCell="A19" zoomScale="223" workbookViewId="0">
      <selection activeCell="G24" sqref="G24"/>
    </sheetView>
  </sheetViews>
  <sheetFormatPr defaultColWidth="12.7109375" defaultRowHeight="15" customHeight="1" x14ac:dyDescent="0.2"/>
  <cols>
    <col min="1" max="1" width="28.7109375" customWidth="1"/>
    <col min="2" max="3" width="13.140625" customWidth="1"/>
    <col min="4" max="4" width="2.85546875" customWidth="1"/>
    <col min="5" max="5" width="16.42578125" customWidth="1"/>
    <col min="6" max="7" width="12.140625" customWidth="1"/>
    <col min="8" max="26" width="5.85546875" customWidth="1"/>
  </cols>
  <sheetData>
    <row r="1" spans="1:26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customHeight="1" x14ac:dyDescent="0.3">
      <c r="A8" s="43" t="s">
        <v>2</v>
      </c>
      <c r="B8" s="41"/>
      <c r="C8" s="41"/>
      <c r="D8" s="41"/>
      <c r="E8" s="44" t="s">
        <v>73</v>
      </c>
      <c r="F8" s="41"/>
      <c r="G8" s="4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5"/>
      <c r="B11" s="6" t="s">
        <v>3</v>
      </c>
      <c r="C11" s="6" t="s">
        <v>4</v>
      </c>
      <c r="D11" s="45"/>
      <c r="E11" s="7" t="s">
        <v>5</v>
      </c>
      <c r="F11" s="46" t="e">
        <f>#REF!</f>
        <v>#REF!</v>
      </c>
      <c r="G11" s="4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8" t="s">
        <v>6</v>
      </c>
      <c r="B12" s="9" t="e">
        <f>#REF!</f>
        <v>#REF!</v>
      </c>
      <c r="C12" s="9" t="e">
        <f>#REF!</f>
        <v>#REF!</v>
      </c>
      <c r="D12" s="41"/>
      <c r="E12" s="10" t="s">
        <v>7</v>
      </c>
      <c r="F12" s="48" t="e">
        <f>#REF!</f>
        <v>#REF!</v>
      </c>
      <c r="G12" s="4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11" t="s">
        <v>8</v>
      </c>
      <c r="B13" s="12" t="e">
        <f>#REF!</f>
        <v>#REF!</v>
      </c>
      <c r="C13" s="12" t="e">
        <f>#REF!</f>
        <v>#REF!</v>
      </c>
      <c r="D13" s="41"/>
      <c r="E13" s="10" t="s">
        <v>9</v>
      </c>
      <c r="F13" s="50" t="e">
        <f>#REF!</f>
        <v>#REF!</v>
      </c>
      <c r="G13" s="4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">
      <c r="A14" s="11" t="s">
        <v>10</v>
      </c>
      <c r="B14" s="12" t="e">
        <f>#REF!</f>
        <v>#REF!</v>
      </c>
      <c r="C14" s="12" t="e">
        <f>#REF!</f>
        <v>#REF!</v>
      </c>
      <c r="D14" s="41"/>
      <c r="E14" s="10" t="s">
        <v>11</v>
      </c>
      <c r="F14" s="48" t="s">
        <v>12</v>
      </c>
      <c r="G14" s="4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13" t="s">
        <v>13</v>
      </c>
      <c r="B15" s="14" t="e">
        <f>#REF!</f>
        <v>#REF!</v>
      </c>
      <c r="C15" s="14" t="e">
        <f>#REF!</f>
        <v>#REF!</v>
      </c>
      <c r="D15" s="41"/>
      <c r="E15" s="10" t="s">
        <v>14</v>
      </c>
      <c r="F15" s="48" t="s">
        <v>12</v>
      </c>
      <c r="G15" s="4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15" t="s">
        <v>15</v>
      </c>
      <c r="B16" s="9" t="e">
        <f>#REF!</f>
        <v>#REF!</v>
      </c>
      <c r="C16" s="9" t="e">
        <f>#REF!</f>
        <v>#REF!</v>
      </c>
      <c r="D16" s="41"/>
      <c r="E16" s="10" t="s">
        <v>16</v>
      </c>
      <c r="F16" s="48" t="e">
        <f>#REF!</f>
        <v>#REF!</v>
      </c>
      <c r="G16" s="4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16" t="s">
        <v>17</v>
      </c>
      <c r="B17" s="9" t="e">
        <f>#REF!</f>
        <v>#REF!</v>
      </c>
      <c r="C17" s="9" t="e">
        <f>#REF!</f>
        <v>#REF!</v>
      </c>
      <c r="D17" s="41"/>
      <c r="E17" s="17" t="s">
        <v>18</v>
      </c>
      <c r="F17" s="51" t="e">
        <f>#REF!</f>
        <v>#REF!</v>
      </c>
      <c r="G17" s="5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">
      <c r="A18" s="11" t="s">
        <v>19</v>
      </c>
      <c r="B18" s="12" t="e">
        <f>#REF!</f>
        <v>#REF!</v>
      </c>
      <c r="C18" s="12" t="e">
        <f>#REF!</f>
        <v>#REF!</v>
      </c>
      <c r="D18" s="41"/>
      <c r="E18" s="53"/>
      <c r="F18" s="41"/>
      <c r="G18" s="4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">
      <c r="A19" s="11" t="s">
        <v>20</v>
      </c>
      <c r="B19" s="12" t="e">
        <f>#REF!</f>
        <v>#REF!</v>
      </c>
      <c r="C19" s="12" t="e">
        <f>#REF!</f>
        <v>#REF!</v>
      </c>
      <c r="D19" s="41"/>
      <c r="E19" s="54"/>
      <c r="F19" s="41"/>
      <c r="G19" s="4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2">
      <c r="A20" s="13" t="s">
        <v>21</v>
      </c>
      <c r="B20" s="14" t="e">
        <f>#REF!</f>
        <v>#REF!</v>
      </c>
      <c r="C20" s="14" t="e">
        <f>#REF!</f>
        <v>#REF!</v>
      </c>
      <c r="D20" s="41"/>
      <c r="E20" s="55"/>
      <c r="F20" s="55"/>
      <c r="G20" s="5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">
      <c r="A21" s="15" t="s">
        <v>22</v>
      </c>
      <c r="B21" s="9" t="e">
        <f>#REF!</f>
        <v>#REF!</v>
      </c>
      <c r="C21" s="9" t="e">
        <f>#REF!</f>
        <v>#REF!</v>
      </c>
      <c r="D21" s="41"/>
      <c r="E21" s="18"/>
      <c r="F21" s="19" t="s">
        <v>3</v>
      </c>
      <c r="G21" s="6" t="s">
        <v>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">
      <c r="A22" s="15" t="s">
        <v>23</v>
      </c>
      <c r="B22" s="9" t="e">
        <f>(B16+B21)/2</f>
        <v>#REF!</v>
      </c>
      <c r="C22" s="9" t="e">
        <f>(C16+C21)/2</f>
        <v>#REF!</v>
      </c>
      <c r="D22" s="41"/>
      <c r="E22" s="20" t="s">
        <v>24</v>
      </c>
      <c r="F22" s="21" t="e">
        <f>#REF!</f>
        <v>#REF!</v>
      </c>
      <c r="G22" s="22" t="e">
        <f>#REF!</f>
        <v>#REF!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">
      <c r="A23" s="8" t="s">
        <v>25</v>
      </c>
      <c r="B23" s="9" t="e">
        <f>#REF!</f>
        <v>#REF!</v>
      </c>
      <c r="C23" s="9" t="e">
        <f>#REF!</f>
        <v>#REF!</v>
      </c>
      <c r="D23" s="41"/>
      <c r="E23" s="23" t="s">
        <v>26</v>
      </c>
      <c r="F23" s="24" t="e">
        <f>#REF!</f>
        <v>#REF!</v>
      </c>
      <c r="G23" s="25" t="e">
        <f>#REF!</f>
        <v>#REF!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">
      <c r="A24" s="11" t="s">
        <v>27</v>
      </c>
      <c r="B24" s="12" t="e">
        <f>#REF!</f>
        <v>#REF!</v>
      </c>
      <c r="C24" s="12" t="e">
        <f>#REF!</f>
        <v>#REF!</v>
      </c>
      <c r="D24" s="41"/>
      <c r="E24" s="20" t="s">
        <v>28</v>
      </c>
      <c r="F24" s="26">
        <v>0.1</v>
      </c>
      <c r="G24" s="27">
        <v>0.1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">
      <c r="A25" s="11" t="s">
        <v>29</v>
      </c>
      <c r="B25" s="12" t="e">
        <f>#REF!</f>
        <v>#REF!</v>
      </c>
      <c r="C25" s="12" t="e">
        <f>#REF!</f>
        <v>#REF!</v>
      </c>
      <c r="D25" s="41"/>
      <c r="E25" s="28" t="s">
        <v>30</v>
      </c>
      <c r="F25" s="29" t="e">
        <f>#REF!</f>
        <v>#REF!</v>
      </c>
      <c r="G25" s="30" t="e">
        <f>#REF!</f>
        <v>#REF!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">
      <c r="A26" s="11" t="s">
        <v>31</v>
      </c>
      <c r="B26" s="14" t="e">
        <f>#REF!</f>
        <v>#REF!</v>
      </c>
      <c r="C26" s="14" t="e">
        <f>#REF!</f>
        <v>#REF!</v>
      </c>
      <c r="D26" s="41"/>
      <c r="E26" s="28" t="s">
        <v>32</v>
      </c>
      <c r="F26" s="31">
        <v>1.0249999999999999</v>
      </c>
      <c r="G26" s="32">
        <f>F26</f>
        <v>1.0249999999999999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">
      <c r="A27" s="33" t="s">
        <v>33</v>
      </c>
      <c r="B27" s="9" t="e">
        <f>#REF!</f>
        <v>#REF!</v>
      </c>
      <c r="C27" s="9" t="e">
        <f>#REF!</f>
        <v>#REF!</v>
      </c>
      <c r="D27" s="41"/>
      <c r="E27" s="28" t="s">
        <v>34</v>
      </c>
      <c r="F27" s="31" t="e">
        <f>#REF!</f>
        <v>#REF!</v>
      </c>
      <c r="G27" s="32" t="e">
        <f>F27</f>
        <v>#REF!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">
      <c r="A28" s="15" t="s">
        <v>35</v>
      </c>
      <c r="B28" s="9" t="e">
        <f>(B27+((B16+B21)/2))/2</f>
        <v>#REF!</v>
      </c>
      <c r="C28" s="9" t="e">
        <f>(C27+((C16+C21)/2))/2</f>
        <v>#REF!</v>
      </c>
      <c r="D28" s="41"/>
      <c r="E28" s="28" t="s">
        <v>36</v>
      </c>
      <c r="F28" s="31" t="e">
        <f>#REF!</f>
        <v>#REF!</v>
      </c>
      <c r="G28" s="32" t="e">
        <f>F28</f>
        <v>#REF!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">
      <c r="A29" s="15" t="s">
        <v>37</v>
      </c>
      <c r="B29" s="9" t="e">
        <f>#REF!</f>
        <v>#REF!</v>
      </c>
      <c r="C29" s="9" t="e">
        <f>#REF!</f>
        <v>#REF!</v>
      </c>
      <c r="D29" s="41"/>
      <c r="E29" s="28" t="s">
        <v>1</v>
      </c>
      <c r="F29" s="31" t="e">
        <f>#REF!</f>
        <v>#REF!</v>
      </c>
      <c r="G29" s="32" t="e">
        <f>#REF!</f>
        <v>#REF!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">
      <c r="A30" s="8" t="s">
        <v>38</v>
      </c>
      <c r="B30" s="9" t="e">
        <f>#REF!</f>
        <v>#REF!</v>
      </c>
      <c r="C30" s="9" t="e">
        <f>#REF!</f>
        <v>#REF!</v>
      </c>
      <c r="D30" s="41"/>
      <c r="E30" s="28" t="s">
        <v>0</v>
      </c>
      <c r="F30" s="31" t="e">
        <f>#REF!</f>
        <v>#REF!</v>
      </c>
      <c r="G30" s="32" t="e">
        <f>#REF!</f>
        <v>#REF!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2">
      <c r="A31" s="11" t="s">
        <v>39</v>
      </c>
      <c r="B31" s="12" t="e">
        <f>#REF!</f>
        <v>#REF!</v>
      </c>
      <c r="C31" s="12" t="e">
        <f>#REF!</f>
        <v>#REF!</v>
      </c>
      <c r="D31" s="41"/>
      <c r="E31" s="28" t="s">
        <v>40</v>
      </c>
      <c r="F31" s="31" t="e">
        <f>#REF!</f>
        <v>#REF!</v>
      </c>
      <c r="G31" s="32" t="e">
        <f>#REF!</f>
        <v>#REF!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">
      <c r="A32" s="11" t="s">
        <v>41</v>
      </c>
      <c r="B32" s="12" t="e">
        <f>#REF!</f>
        <v>#REF!</v>
      </c>
      <c r="C32" s="12" t="e">
        <f>#REF!</f>
        <v>#REF!</v>
      </c>
      <c r="D32" s="41"/>
      <c r="E32" s="28" t="s">
        <v>42</v>
      </c>
      <c r="F32" s="31" t="e">
        <f>#REF!</f>
        <v>#REF!</v>
      </c>
      <c r="G32" s="32" t="e">
        <f>#REF!</f>
        <v>#REF!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2">
      <c r="A33" s="11" t="s">
        <v>43</v>
      </c>
      <c r="B33" s="12" t="e">
        <f>#REF!</f>
        <v>#REF!</v>
      </c>
      <c r="C33" s="12" t="e">
        <f>#REF!</f>
        <v>#REF!</v>
      </c>
      <c r="D33" s="41"/>
      <c r="E33" s="28" t="s">
        <v>44</v>
      </c>
      <c r="F33" s="31" t="e">
        <f>ABS(F31-F32)</f>
        <v>#REF!</v>
      </c>
      <c r="G33" s="31" t="e">
        <f>ABS(G31-G32)</f>
        <v>#REF!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">
      <c r="A34" s="11" t="s">
        <v>45</v>
      </c>
      <c r="B34" s="12" t="e">
        <f>#REF!</f>
        <v>#REF!</v>
      </c>
      <c r="C34" s="12" t="e">
        <f>#REF!</f>
        <v>#REF!</v>
      </c>
      <c r="D34" s="41"/>
      <c r="E34" s="28" t="s">
        <v>46</v>
      </c>
      <c r="F34" s="31" t="e">
        <f>#REF!</f>
        <v>#REF!</v>
      </c>
      <c r="G34" s="32" t="e">
        <f>#REF!</f>
        <v>#REF!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">
      <c r="A35" s="11" t="s">
        <v>47</v>
      </c>
      <c r="B35" s="12" t="e">
        <f>#REF!</f>
        <v>#REF!</v>
      </c>
      <c r="C35" s="12" t="e">
        <f>#REF!</f>
        <v>#REF!</v>
      </c>
      <c r="D35" s="41"/>
      <c r="E35" s="28" t="s">
        <v>48</v>
      </c>
      <c r="F35" s="31" t="e">
        <f>#REF!</f>
        <v>#REF!</v>
      </c>
      <c r="G35" s="32" t="e">
        <f>#REF!</f>
        <v>#REF!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">
      <c r="A36" s="13" t="s">
        <v>49</v>
      </c>
      <c r="B36" s="34" t="e">
        <f>#REF!</f>
        <v>#REF!</v>
      </c>
      <c r="C36" s="34" t="e">
        <f>#REF!</f>
        <v>#REF!</v>
      </c>
      <c r="D36" s="41"/>
      <c r="E36" s="28" t="s">
        <v>50</v>
      </c>
      <c r="F36" s="31" t="e">
        <f>#REF!</f>
        <v>#REF!</v>
      </c>
      <c r="G36" s="32" t="e">
        <f>#REF!</f>
        <v>#REF!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">
      <c r="A37" s="15" t="s">
        <v>51</v>
      </c>
      <c r="B37" s="35" t="e">
        <f>#REF!</f>
        <v>#REF!</v>
      </c>
      <c r="C37" s="35" t="e">
        <f>#REF!</f>
        <v>#REF!</v>
      </c>
      <c r="D37" s="41"/>
      <c r="E37" s="28" t="s">
        <v>52</v>
      </c>
      <c r="F37" s="31" t="e">
        <f>#REF!+#REF!-#REF!</f>
        <v>#REF!</v>
      </c>
      <c r="G37" s="32" t="e">
        <f>#REF!+#REF!-#REF!</f>
        <v>#REF!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">
      <c r="A38" s="8" t="s">
        <v>53</v>
      </c>
      <c r="B38" s="9" t="e">
        <f>#REF!</f>
        <v>#REF!</v>
      </c>
      <c r="C38" s="9" t="e">
        <f>#REF!</f>
        <v>#REF!</v>
      </c>
      <c r="D38" s="41"/>
      <c r="E38" s="28" t="s">
        <v>54</v>
      </c>
      <c r="F38" s="31" t="e">
        <f>#REF!</f>
        <v>#REF!</v>
      </c>
      <c r="G38" s="32" t="e">
        <f>#REF!</f>
        <v>#REF!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">
      <c r="A39" s="11" t="s">
        <v>55</v>
      </c>
      <c r="B39" s="12" t="e">
        <f>#REF!</f>
        <v>#REF!</v>
      </c>
      <c r="C39" s="12" t="e">
        <f>#REF!</f>
        <v>#REF!</v>
      </c>
      <c r="D39" s="41"/>
      <c r="E39" s="23" t="s">
        <v>56</v>
      </c>
      <c r="F39" s="36" t="e">
        <f>#REF!</f>
        <v>#REF!</v>
      </c>
      <c r="G39" s="37" t="e">
        <f>#REF!</f>
        <v>#REF!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">
      <c r="A40" s="11" t="s">
        <v>57</v>
      </c>
      <c r="B40" s="12" t="e">
        <f>#REF!</f>
        <v>#REF!</v>
      </c>
      <c r="C40" s="12" t="e">
        <f>#REF!</f>
        <v>#REF!</v>
      </c>
      <c r="D40" s="41"/>
      <c r="E40" s="42"/>
      <c r="F40" s="41"/>
      <c r="G40" s="4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">
      <c r="A41" s="11" t="s">
        <v>58</v>
      </c>
      <c r="B41" s="12" t="e">
        <f>#REF!</f>
        <v>#REF!</v>
      </c>
      <c r="C41" s="12" t="e">
        <f>#REF!</f>
        <v>#REF!</v>
      </c>
      <c r="D41" s="4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2">
      <c r="A42" s="11" t="s">
        <v>59</v>
      </c>
      <c r="B42" s="12" t="e">
        <f>#REF!</f>
        <v>#REF!</v>
      </c>
      <c r="C42" s="12" t="e">
        <f>#REF!</f>
        <v>#REF!</v>
      </c>
      <c r="D42" s="41"/>
      <c r="E42" s="42" t="s">
        <v>60</v>
      </c>
      <c r="F42" s="41"/>
      <c r="G42" s="4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2">
      <c r="A43" s="13" t="s">
        <v>61</v>
      </c>
      <c r="B43" s="14" t="e">
        <f>#REF!</f>
        <v>#REF!</v>
      </c>
      <c r="C43" s="14" t="e">
        <f>#REF!</f>
        <v>#REF!</v>
      </c>
      <c r="D43" s="41"/>
      <c r="E43" s="42"/>
      <c r="F43" s="41"/>
      <c r="G43" s="4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2">
      <c r="A44" s="15" t="s">
        <v>62</v>
      </c>
      <c r="B44" s="35" t="e">
        <f>#REF!</f>
        <v>#REF!</v>
      </c>
      <c r="C44" s="35" t="e">
        <f>#REF!</f>
        <v>#REF!</v>
      </c>
      <c r="D44" s="41"/>
      <c r="E44" s="53"/>
      <c r="F44" s="41"/>
      <c r="G44" s="4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5">
      <c r="A48" s="58" t="s">
        <v>63</v>
      </c>
      <c r="B48" s="41"/>
      <c r="C48" s="59" t="e">
        <f>#REF!</f>
        <v>#REF!</v>
      </c>
      <c r="D48" s="41"/>
      <c r="E48" s="38" t="s">
        <v>64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 t="s">
        <v>65</v>
      </c>
      <c r="B54" s="60" t="s">
        <v>66</v>
      </c>
      <c r="C54" s="41"/>
      <c r="D54" s="1" t="s">
        <v>67</v>
      </c>
      <c r="E54" s="1"/>
      <c r="F54" s="61" t="s">
        <v>68</v>
      </c>
      <c r="G54" s="4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39"/>
      <c r="B55" s="62" t="s">
        <v>69</v>
      </c>
      <c r="C55" s="40"/>
      <c r="D55" s="39"/>
      <c r="E55" s="39"/>
      <c r="F55" s="62" t="s">
        <v>70</v>
      </c>
      <c r="G55" s="4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56" t="s">
        <v>71</v>
      </c>
      <c r="B57" s="41"/>
      <c r="C57" s="41"/>
      <c r="D57" s="41"/>
      <c r="E57" s="41"/>
      <c r="F57" s="41"/>
      <c r="G57" s="4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57" t="s">
        <v>72</v>
      </c>
      <c r="B58" s="41"/>
      <c r="C58" s="41"/>
      <c r="D58" s="41"/>
      <c r="E58" s="41"/>
      <c r="F58" s="41"/>
      <c r="G58" s="4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/>
    <row r="260" spans="1:26" ht="15.75" customHeight="1" x14ac:dyDescent="0.2"/>
    <row r="261" spans="1:26" ht="15.75" customHeight="1" x14ac:dyDescent="0.2"/>
    <row r="262" spans="1:26" ht="15.75" customHeight="1" x14ac:dyDescent="0.2"/>
    <row r="263" spans="1:26" ht="15.75" customHeight="1" x14ac:dyDescent="0.2"/>
    <row r="264" spans="1:26" ht="15.75" customHeight="1" x14ac:dyDescent="0.2"/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4">
    <mergeCell ref="A57:G57"/>
    <mergeCell ref="A58:G58"/>
    <mergeCell ref="E44:G44"/>
    <mergeCell ref="A48:B48"/>
    <mergeCell ref="C48:D48"/>
    <mergeCell ref="B54:C54"/>
    <mergeCell ref="F54:G54"/>
    <mergeCell ref="B55:C55"/>
    <mergeCell ref="F55:G55"/>
    <mergeCell ref="E40:G40"/>
    <mergeCell ref="E42:G42"/>
    <mergeCell ref="E43:G43"/>
    <mergeCell ref="A8:D8"/>
    <mergeCell ref="E8:G8"/>
    <mergeCell ref="D11:D44"/>
    <mergeCell ref="F11:G11"/>
    <mergeCell ref="F12:G12"/>
    <mergeCell ref="F13:G13"/>
    <mergeCell ref="F14:G14"/>
    <mergeCell ref="F15:G15"/>
    <mergeCell ref="F16:G16"/>
    <mergeCell ref="F17:G17"/>
    <mergeCell ref="E18:G18"/>
    <mergeCell ref="E19:G20"/>
  </mergeCells>
  <pageMargins left="0.62992125984251968" right="0.23622047244094488" top="0.59055118110236215" bottom="0.74803149606299213" header="0.51181102362204722" footer="0.31496062992125984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Petr Zalizko</cp:lastModifiedBy>
  <cp:lastPrinted>2025-08-07T11:43:24Z</cp:lastPrinted>
  <dcterms:created xsi:type="dcterms:W3CDTF">2025-08-09T14:39:43Z</dcterms:created>
  <dcterms:modified xsi:type="dcterms:W3CDTF">2025-08-09T14:42:34Z</dcterms:modified>
</cp:coreProperties>
</file>