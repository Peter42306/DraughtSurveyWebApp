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urveyor\ExcelTemplates\"/>
    </mc:Choice>
  </mc:AlternateContent>
  <xr:revisionPtr revIDLastSave="0" documentId="8_{8D64B841-EFA7-4163-8BD9-57D69728EAF8}" xr6:coauthVersionLast="47" xr6:coauthVersionMax="47" xr10:uidLastSave="{00000000-0000-0000-0000-000000000000}"/>
  <bookViews>
    <workbookView xWindow="38280" yWindow="4320" windowWidth="16440" windowHeight="28320" xr2:uid="{00000000-000D-0000-FFFF-FFFF00000000}"/>
  </bookViews>
  <sheets>
    <sheet name="CISS DS" sheetId="20" r:id="rId1"/>
    <sheet name="Sheet1" sheetId="2" state="hidden" r:id="rId2"/>
  </sheets>
  <definedNames>
    <definedName name="_Fill">#REF!</definedName>
    <definedName name="ATrim">#REF!</definedName>
    <definedName name="BShip">#REF!</definedName>
    <definedName name="DENSITY">#REF!</definedName>
    <definedName name="DTrim">#REF!</definedName>
    <definedName name="Innage">#REF!</definedName>
    <definedName name="Innage1">#REF!</definedName>
    <definedName name="LBP">#REF!</definedName>
    <definedName name="Linner">#REF!</definedName>
    <definedName name="_xlnm.Print_Area" localSheetId="0">'CISS DS'!$A$1:$F$62</definedName>
    <definedName name="Table2">#REF!</definedName>
    <definedName name="Table3">#REF!</definedName>
    <definedName name="Volu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20" l="1"/>
  <c r="E48" i="20"/>
  <c r="E5" i="20"/>
  <c r="E49" i="20"/>
  <c r="E46" i="20" l="1"/>
  <c r="E30" i="20"/>
  <c r="E22" i="20"/>
  <c r="E21" i="20"/>
  <c r="F8" i="20"/>
  <c r="E8" i="20"/>
  <c r="E9" i="20" s="1"/>
  <c r="E17" i="20"/>
  <c r="E16" i="20"/>
  <c r="E12" i="20"/>
  <c r="E11" i="20"/>
  <c r="F9" i="20"/>
  <c r="C51" i="20"/>
  <c r="E51" i="20" s="1"/>
  <c r="C49" i="20"/>
  <c r="C48" i="20"/>
  <c r="C47" i="20"/>
  <c r="C46" i="20"/>
  <c r="C41" i="20"/>
  <c r="C30" i="20"/>
  <c r="C22" i="20"/>
  <c r="C21" i="20"/>
  <c r="E6" i="20"/>
  <c r="C17" i="20"/>
  <c r="C16" i="20"/>
  <c r="C12" i="20"/>
  <c r="C11" i="20"/>
  <c r="D8" i="20"/>
  <c r="D9" i="20"/>
  <c r="C5" i="20"/>
  <c r="A6" i="20"/>
  <c r="A5" i="20"/>
  <c r="C8" i="20"/>
  <c r="C9" i="20" s="1"/>
  <c r="E41" i="20"/>
  <c r="C13" i="20" l="1"/>
  <c r="E23" i="20"/>
  <c r="C18" i="20" l="1"/>
  <c r="C23" i="20"/>
  <c r="E18" i="20"/>
  <c r="E13" i="20"/>
  <c r="E35" i="20"/>
  <c r="C35" i="20" l="1"/>
  <c r="C14" i="20"/>
  <c r="C24" i="20"/>
  <c r="C19" i="20"/>
  <c r="E19" i="20"/>
  <c r="E24" i="20"/>
  <c r="E14" i="20"/>
  <c r="C25" i="20" l="1"/>
  <c r="E20" i="20"/>
  <c r="E25" i="20"/>
  <c r="C36" i="20" l="1"/>
  <c r="C26" i="20"/>
  <c r="C27" i="20" s="1"/>
  <c r="C15" i="20"/>
  <c r="C28" i="20"/>
  <c r="C20" i="20"/>
  <c r="E15" i="20"/>
  <c r="E26" i="20"/>
  <c r="E27" i="20" s="1"/>
  <c r="E28" i="20"/>
  <c r="C34" i="20" l="1"/>
  <c r="C32" i="20"/>
  <c r="E36" i="20"/>
  <c r="C33" i="20"/>
  <c r="C31" i="20"/>
  <c r="C38" i="20"/>
  <c r="C39" i="20" l="1"/>
  <c r="E33" i="20"/>
  <c r="E38" i="20"/>
  <c r="E31" i="20"/>
  <c r="E34" i="20"/>
  <c r="E32" i="20"/>
  <c r="E45" i="20" l="1"/>
  <c r="E44" i="20"/>
  <c r="C45" i="20"/>
  <c r="C44" i="20"/>
  <c r="C40" i="20"/>
  <c r="E40" i="20"/>
  <c r="E39" i="20"/>
  <c r="E50" i="20" l="1"/>
  <c r="C50" i="20"/>
  <c r="C42" i="20" l="1"/>
  <c r="E42" i="20"/>
  <c r="D52" i="20" l="1"/>
</calcChain>
</file>

<file path=xl/sharedStrings.xml><?xml version="1.0" encoding="utf-8"?>
<sst xmlns="http://schemas.openxmlformats.org/spreadsheetml/2006/main" count="89" uniqueCount="53">
  <si>
    <t>TPC</t>
  </si>
  <si>
    <t>LCF</t>
  </si>
  <si>
    <t>Draught Survey Report</t>
  </si>
  <si>
    <t>Initial</t>
  </si>
  <si>
    <t>Final</t>
  </si>
  <si>
    <t xml:space="preserve">DS commenced  Date / Time </t>
  </si>
  <si>
    <t xml:space="preserve">DS completed    Date / Time </t>
  </si>
  <si>
    <t>Weather ( sea ) condition</t>
  </si>
  <si>
    <t>FRD Draft ( Port )</t>
  </si>
  <si>
    <t>M</t>
  </si>
  <si>
    <t>FRD Draft ( Stb )</t>
  </si>
  <si>
    <t xml:space="preserve">Mean FRD Draft </t>
  </si>
  <si>
    <t>Trim Correction  ( FRD)</t>
  </si>
  <si>
    <t>FRD corrected draft</t>
  </si>
  <si>
    <t>AFT Draft ( Port )</t>
  </si>
  <si>
    <t>AFT Draft ( Stb.)</t>
  </si>
  <si>
    <t xml:space="preserve">Mean AFT Draft </t>
  </si>
  <si>
    <t>Trim Correction ( AFT )</t>
  </si>
  <si>
    <t xml:space="preserve">AFT corrected draft </t>
  </si>
  <si>
    <t xml:space="preserve">Midships Draft ( Port ) </t>
  </si>
  <si>
    <t>Midships Draft ( Stb. )</t>
  </si>
  <si>
    <t xml:space="preserve">Mean Midships Draft </t>
  </si>
  <si>
    <t xml:space="preserve">Midships corrected draft </t>
  </si>
  <si>
    <t xml:space="preserve">FRD &amp; AFT mean draft  </t>
  </si>
  <si>
    <t xml:space="preserve">Draft  Mean of Means </t>
  </si>
  <si>
    <t>LBP</t>
  </si>
  <si>
    <t>T</t>
  </si>
  <si>
    <t>MCTC ( T+ 50)</t>
  </si>
  <si>
    <t>MCTC ( T- 50)</t>
  </si>
  <si>
    <t>g/ml</t>
  </si>
  <si>
    <t xml:space="preserve">Displacement from table  </t>
  </si>
  <si>
    <t>Mt</t>
  </si>
  <si>
    <t xml:space="preserve">First trim correction </t>
  </si>
  <si>
    <t>Second trim correction</t>
  </si>
  <si>
    <t xml:space="preserve">Observed density </t>
  </si>
  <si>
    <t>CORRECTED DISPLACEMENT</t>
  </si>
  <si>
    <t>Fresh water</t>
  </si>
  <si>
    <t>Fuel oil</t>
  </si>
  <si>
    <t>Diesel  oil</t>
  </si>
  <si>
    <t>Lubricating oil</t>
  </si>
  <si>
    <t>Other stores ( engine, deck )</t>
  </si>
  <si>
    <t>TOTAL</t>
  </si>
  <si>
    <t xml:space="preserve">Trim Correction (MD ) </t>
  </si>
  <si>
    <t>Mean of Mean of  Means</t>
  </si>
  <si>
    <t xml:space="preserve">Apparent trim </t>
  </si>
  <si>
    <t xml:space="preserve">Actual trim </t>
  </si>
  <si>
    <t>Density( from table  )</t>
  </si>
  <si>
    <t>Light ship</t>
  </si>
  <si>
    <t>Master:</t>
  </si>
  <si>
    <t>Ballast</t>
  </si>
  <si>
    <t>swell 0,10 m</t>
  </si>
  <si>
    <t xml:space="preserve">Total weight of cargo, Mt : </t>
  </si>
  <si>
    <t>Surveyor CISS: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</si>
</sst>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 Cyr"/>
      <charset val="204"/>
    </font>
    <font>
      <b/>
      <sz val="14"/>
      <color indexed="8"/>
      <name val="Arial"/>
      <family val="2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Copperplate Light"/>
    </font>
    <font>
      <sz val="11"/>
      <color indexed="8"/>
      <name val="Copperplate Light"/>
    </font>
    <font>
      <sz val="10"/>
      <name val="Copperplate Light"/>
    </font>
    <font>
      <sz val="10"/>
      <color indexed="56"/>
      <name val="Copperplate Light"/>
    </font>
    <font>
      <sz val="10"/>
      <color indexed="62"/>
      <name val="Copperplate Light"/>
    </font>
    <font>
      <sz val="11"/>
      <name val="Arial"/>
      <family val="2"/>
    </font>
    <font>
      <sz val="11"/>
      <name val="Times New Roman"/>
      <family val="1"/>
      <charset val="204"/>
    </font>
    <font>
      <sz val="10"/>
      <color indexed="39"/>
      <name val="Times New Roman"/>
      <family val="1"/>
      <charset val="204"/>
    </font>
    <font>
      <i/>
      <sz val="10"/>
      <name val="Times New Roman"/>
      <family val="1"/>
      <charset val="204"/>
    </font>
    <font>
      <sz val="14"/>
      <color indexed="8"/>
      <name val="Copperplate Bold"/>
    </font>
    <font>
      <b/>
      <i/>
      <sz val="10"/>
      <color indexed="8"/>
      <name val="Copperplate Light"/>
    </font>
    <font>
      <sz val="9"/>
      <name val="Copperplate Light"/>
    </font>
    <font>
      <b/>
      <sz val="10"/>
      <color indexed="8"/>
      <name val="Copperplate Light"/>
    </font>
    <font>
      <sz val="11"/>
      <name val="Copperplate Light"/>
    </font>
    <font>
      <sz val="10"/>
      <color indexed="8"/>
      <name val="Copperplate Bold"/>
    </font>
    <font>
      <sz val="10"/>
      <name val="Copperplate Bold"/>
    </font>
    <font>
      <b/>
      <sz val="10"/>
      <name val="Copperplate Bold"/>
    </font>
    <font>
      <sz val="10"/>
      <color indexed="39"/>
      <name val="Copperplate Light"/>
    </font>
    <font>
      <i/>
      <sz val="10"/>
      <name val="Copperplate Light"/>
    </font>
    <font>
      <sz val="11"/>
      <color indexed="17"/>
      <name val="Copperplate Light"/>
    </font>
    <font>
      <sz val="10"/>
      <color indexed="12"/>
      <name val="Copperplate Light"/>
    </font>
    <font>
      <sz val="8"/>
      <name val="Copperplate Light"/>
    </font>
    <font>
      <sz val="10"/>
      <color indexed="10"/>
      <name val="Copperplate Light"/>
    </font>
    <font>
      <sz val="16"/>
      <color indexed="8"/>
      <name val="Copperplate Light"/>
    </font>
    <font>
      <sz val="11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1"/>
    <xf numFmtId="0" fontId="13" fillId="0" borderId="1"/>
    <xf numFmtId="0" fontId="32" fillId="0" borderId="1"/>
  </cellStyleXfs>
  <cellXfs count="107">
    <xf numFmtId="0" fontId="0" fillId="0" borderId="0" xfId="0"/>
    <xf numFmtId="0" fontId="1" fillId="0" borderId="0" xfId="0" applyFont="1"/>
    <xf numFmtId="0" fontId="2" fillId="0" borderId="1" xfId="1"/>
    <xf numFmtId="0" fontId="2" fillId="0" borderId="1" xfId="1" applyAlignment="1">
      <alignment vertical="center"/>
    </xf>
    <xf numFmtId="0" fontId="3" fillId="0" borderId="1" xfId="1" applyFont="1" applyAlignment="1">
      <alignment vertical="center" wrapText="1"/>
    </xf>
    <xf numFmtId="0" fontId="4" fillId="0" borderId="1" xfId="1" applyFont="1" applyAlignment="1">
      <alignment vertical="top" wrapText="1"/>
    </xf>
    <xf numFmtId="0" fontId="5" fillId="0" borderId="1" xfId="1" applyFont="1" applyAlignment="1">
      <alignment horizontal="center" vertical="top" wrapText="1"/>
    </xf>
    <xf numFmtId="0" fontId="8" fillId="0" borderId="1" xfId="1" applyFont="1" applyAlignment="1">
      <alignment vertical="top" wrapText="1"/>
    </xf>
    <xf numFmtId="0" fontId="9" fillId="0" borderId="1" xfId="1" applyFont="1"/>
    <xf numFmtId="0" fontId="10" fillId="0" borderId="1" xfId="1" applyFont="1"/>
    <xf numFmtId="0" fontId="8" fillId="0" borderId="2" xfId="1" applyFont="1" applyBorder="1" applyAlignment="1">
      <alignment vertical="top" wrapText="1"/>
    </xf>
    <xf numFmtId="14" fontId="8" fillId="0" borderId="2" xfId="1" applyNumberFormat="1" applyFont="1" applyBorder="1" applyAlignment="1">
      <alignment horizontal="center" vertical="top" wrapText="1"/>
    </xf>
    <xf numFmtId="20" fontId="8" fillId="0" borderId="2" xfId="1" applyNumberFormat="1" applyFont="1" applyBorder="1" applyAlignment="1">
      <alignment horizontal="center" vertical="top" wrapText="1"/>
    </xf>
    <xf numFmtId="0" fontId="8" fillId="0" borderId="2" xfId="1" applyFont="1" applyBorder="1" applyAlignment="1">
      <alignment horizontal="center" vertical="top" wrapText="1"/>
    </xf>
    <xf numFmtId="0" fontId="8" fillId="0" borderId="9" xfId="1" applyFont="1" applyBorder="1" applyAlignment="1">
      <alignment vertical="top" wrapText="1"/>
    </xf>
    <xf numFmtId="0" fontId="8" fillId="0" borderId="9" xfId="1" applyFont="1" applyBorder="1" applyAlignment="1">
      <alignment horizontal="center" vertical="top" wrapText="1"/>
    </xf>
    <xf numFmtId="0" fontId="14" fillId="0" borderId="1" xfId="2" applyFont="1"/>
    <xf numFmtId="0" fontId="14" fillId="0" borderId="1" xfId="2" applyFont="1" applyAlignment="1">
      <alignment horizontal="left"/>
    </xf>
    <xf numFmtId="0" fontId="7" fillId="0" borderId="1" xfId="1" applyFont="1" applyAlignment="1">
      <alignment wrapText="1"/>
    </xf>
    <xf numFmtId="0" fontId="7" fillId="0" borderId="1" xfId="1" applyFont="1" applyAlignment="1">
      <alignment horizontal="center" vertical="center" wrapText="1"/>
    </xf>
    <xf numFmtId="164" fontId="15" fillId="0" borderId="1" xfId="2" applyNumberFormat="1" applyFont="1"/>
    <xf numFmtId="164" fontId="16" fillId="0" borderId="1" xfId="2" applyNumberFormat="1" applyFont="1"/>
    <xf numFmtId="0" fontId="6" fillId="0" borderId="1" xfId="1" applyFont="1"/>
    <xf numFmtId="0" fontId="7" fillId="0" borderId="1" xfId="1" applyFont="1"/>
    <xf numFmtId="0" fontId="10" fillId="0" borderId="1" xfId="1" applyFont="1" applyAlignment="1">
      <alignment vertical="top" wrapText="1"/>
    </xf>
    <xf numFmtId="0" fontId="10" fillId="0" borderId="1" xfId="1" applyFont="1" applyAlignment="1">
      <alignment horizontal="left" vertical="center"/>
    </xf>
    <xf numFmtId="0" fontId="10" fillId="0" borderId="1" xfId="1" applyFont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/>
    </xf>
    <xf numFmtId="0" fontId="8" fillId="0" borderId="12" xfId="1" applyFont="1" applyBorder="1" applyAlignment="1">
      <alignment horizontal="left" vertical="center"/>
    </xf>
    <xf numFmtId="0" fontId="8" fillId="0" borderId="10" xfId="1" applyFont="1" applyBorder="1" applyAlignment="1">
      <alignment vertical="top"/>
    </xf>
    <xf numFmtId="0" fontId="8" fillId="0" borderId="12" xfId="1" applyFont="1" applyBorder="1" applyAlignment="1">
      <alignment vertical="top"/>
    </xf>
    <xf numFmtId="0" fontId="9" fillId="0" borderId="12" xfId="1" applyFont="1" applyBorder="1"/>
    <xf numFmtId="0" fontId="18" fillId="0" borderId="12" xfId="1" applyFont="1" applyBorder="1" applyAlignment="1">
      <alignment horizontal="center" vertical="top" wrapText="1"/>
    </xf>
    <xf numFmtId="0" fontId="19" fillId="0" borderId="1" xfId="1" applyFont="1" applyAlignment="1">
      <alignment horizontal="center" vertical="top" wrapText="1"/>
    </xf>
    <xf numFmtId="0" fontId="10" fillId="0" borderId="1" xfId="1" applyFont="1" applyAlignment="1">
      <alignment horizontal="center" vertical="center"/>
    </xf>
    <xf numFmtId="0" fontId="21" fillId="0" borderId="1" xfId="2" applyFont="1"/>
    <xf numFmtId="0" fontId="21" fillId="0" borderId="1" xfId="2" applyFont="1" applyAlignment="1">
      <alignment horizontal="left"/>
    </xf>
    <xf numFmtId="164" fontId="12" fillId="0" borderId="1" xfId="1" applyNumberFormat="1" applyFont="1" applyAlignment="1">
      <alignment horizontal="center" vertical="center"/>
    </xf>
    <xf numFmtId="0" fontId="10" fillId="0" borderId="1" xfId="2" applyFont="1" applyAlignment="1">
      <alignment horizontal="left"/>
    </xf>
    <xf numFmtId="0" fontId="22" fillId="0" borderId="2" xfId="1" applyFont="1" applyBorder="1" applyAlignment="1">
      <alignment vertical="top" wrapText="1"/>
    </xf>
    <xf numFmtId="0" fontId="22" fillId="0" borderId="2" xfId="1" applyFont="1" applyBorder="1" applyAlignment="1">
      <alignment horizontal="center" vertical="top" wrapText="1"/>
    </xf>
    <xf numFmtId="0" fontId="23" fillId="0" borderId="1" xfId="1" applyFont="1"/>
    <xf numFmtId="0" fontId="23" fillId="0" borderId="1" xfId="2" applyFont="1"/>
    <xf numFmtId="0" fontId="23" fillId="0" borderId="1" xfId="2" applyFont="1" applyAlignment="1">
      <alignment horizontal="left"/>
    </xf>
    <xf numFmtId="0" fontId="24" fillId="0" borderId="1" xfId="2" applyFont="1"/>
    <xf numFmtId="0" fontId="8" fillId="0" borderId="2" xfId="1" applyFont="1" applyBorder="1" applyAlignment="1">
      <alignment horizontal="left" vertical="top" wrapText="1"/>
    </xf>
    <xf numFmtId="164" fontId="25" fillId="0" borderId="1" xfId="2" applyNumberFormat="1" applyFont="1"/>
    <xf numFmtId="164" fontId="26" fillId="0" borderId="1" xfId="2" applyNumberFormat="1" applyFont="1"/>
    <xf numFmtId="0" fontId="27" fillId="0" borderId="1" xfId="2" applyFont="1"/>
    <xf numFmtId="0" fontId="21" fillId="0" borderId="1" xfId="2" quotePrefix="1" applyFont="1" applyAlignment="1">
      <alignment horizontal="left"/>
    </xf>
    <xf numFmtId="0" fontId="8" fillId="0" borderId="10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center"/>
    </xf>
    <xf numFmtId="164" fontId="10" fillId="0" borderId="1" xfId="2" applyNumberFormat="1" applyFont="1"/>
    <xf numFmtId="164" fontId="28" fillId="0" borderId="1" xfId="2" applyNumberFormat="1" applyFont="1"/>
    <xf numFmtId="164" fontId="10" fillId="0" borderId="1" xfId="2" applyNumberFormat="1" applyFont="1" applyAlignment="1">
      <alignment horizontal="right"/>
    </xf>
    <xf numFmtId="0" fontId="29" fillId="0" borderId="1" xfId="2" applyFont="1" applyAlignment="1">
      <alignment horizontal="left"/>
    </xf>
    <xf numFmtId="164" fontId="28" fillId="0" borderId="1" xfId="2" applyNumberFormat="1" applyFont="1" applyAlignment="1">
      <alignment horizontal="center"/>
    </xf>
    <xf numFmtId="164" fontId="30" fillId="0" borderId="1" xfId="2" applyNumberFormat="1" applyFont="1" applyAlignment="1">
      <alignment horizontal="center"/>
    </xf>
    <xf numFmtId="0" fontId="20" fillId="0" borderId="2" xfId="1" applyFont="1" applyBorder="1" applyAlignment="1">
      <alignment horizontal="left" vertical="top" wrapText="1"/>
    </xf>
    <xf numFmtId="0" fontId="22" fillId="0" borderId="2" xfId="1" applyFont="1" applyBorder="1" applyAlignment="1">
      <alignment horizontal="left" vertical="top" wrapText="1"/>
    </xf>
    <xf numFmtId="0" fontId="8" fillId="0" borderId="1" xfId="1" applyFont="1" applyAlignment="1">
      <alignment horizontal="center" vertical="top" wrapText="1"/>
    </xf>
    <xf numFmtId="0" fontId="8" fillId="0" borderId="2" xfId="1" applyFont="1" applyBorder="1" applyAlignment="1">
      <alignment vertical="top" wrapText="1"/>
    </xf>
    <xf numFmtId="0" fontId="8" fillId="0" borderId="2" xfId="1" applyFont="1" applyBorder="1" applyAlignment="1">
      <alignment horizontal="center" vertical="top" wrapText="1"/>
    </xf>
    <xf numFmtId="164" fontId="11" fillId="0" borderId="10" xfId="1" applyNumberFormat="1" applyFont="1" applyBorder="1" applyAlignment="1">
      <alignment horizontal="center" vertical="center" wrapText="1"/>
    </xf>
    <xf numFmtId="164" fontId="11" fillId="0" borderId="11" xfId="1" applyNumberFormat="1" applyFont="1" applyBorder="1" applyAlignment="1">
      <alignment horizontal="center" vertical="center" wrapText="1"/>
    </xf>
    <xf numFmtId="164" fontId="11" fillId="0" borderId="2" xfId="1" applyNumberFormat="1" applyFont="1" applyBorder="1" applyAlignment="1">
      <alignment horizontal="center" vertical="center" wrapText="1"/>
    </xf>
    <xf numFmtId="164" fontId="8" fillId="0" borderId="10" xfId="1" applyNumberFormat="1" applyFont="1" applyBorder="1" applyAlignment="1">
      <alignment horizontal="center" vertical="center" wrapText="1"/>
    </xf>
    <xf numFmtId="164" fontId="8" fillId="0" borderId="11" xfId="1" applyNumberFormat="1" applyFont="1" applyBorder="1" applyAlignment="1">
      <alignment horizontal="center" vertical="center" wrapText="1"/>
    </xf>
    <xf numFmtId="164" fontId="8" fillId="2" borderId="10" xfId="1" applyNumberFormat="1" applyFont="1" applyFill="1" applyBorder="1" applyAlignment="1">
      <alignment horizontal="center" vertical="center" wrapText="1"/>
    </xf>
    <xf numFmtId="164" fontId="8" fillId="2" borderId="11" xfId="1" applyNumberFormat="1" applyFont="1" applyFill="1" applyBorder="1" applyAlignment="1">
      <alignment horizontal="center" vertical="center" wrapText="1"/>
    </xf>
    <xf numFmtId="164" fontId="12" fillId="0" borderId="10" xfId="1" applyNumberFormat="1" applyFont="1" applyBorder="1" applyAlignment="1">
      <alignment horizontal="center" vertical="center" wrapText="1"/>
    </xf>
    <xf numFmtId="164" fontId="12" fillId="0" borderId="11" xfId="1" applyNumberFormat="1" applyFont="1" applyBorder="1" applyAlignment="1">
      <alignment horizontal="center" vertical="center" wrapText="1"/>
    </xf>
    <xf numFmtId="164" fontId="12" fillId="0" borderId="2" xfId="1" applyNumberFormat="1" applyFont="1" applyBorder="1" applyAlignment="1">
      <alignment horizontal="center" vertical="center" wrapText="1"/>
    </xf>
    <xf numFmtId="164" fontId="8" fillId="0" borderId="2" xfId="1" applyNumberFormat="1" applyFont="1" applyBorder="1" applyAlignment="1">
      <alignment horizontal="center" vertical="center" wrapText="1"/>
    </xf>
    <xf numFmtId="164" fontId="22" fillId="0" borderId="10" xfId="1" applyNumberFormat="1" applyFont="1" applyBorder="1" applyAlignment="1">
      <alignment horizontal="center" vertical="center" wrapText="1"/>
    </xf>
    <xf numFmtId="164" fontId="22" fillId="0" borderId="11" xfId="1" applyNumberFormat="1" applyFont="1" applyBorder="1" applyAlignment="1">
      <alignment horizontal="center" vertical="center" wrapText="1"/>
    </xf>
    <xf numFmtId="0" fontId="10" fillId="0" borderId="2" xfId="1" applyFont="1" applyBorder="1"/>
    <xf numFmtId="164" fontId="10" fillId="0" borderId="2" xfId="1" applyNumberFormat="1" applyFont="1" applyBorder="1" applyAlignment="1">
      <alignment horizontal="center" vertical="center" wrapText="1"/>
    </xf>
    <xf numFmtId="165" fontId="8" fillId="0" borderId="10" xfId="1" applyNumberFormat="1" applyFont="1" applyBorder="1" applyAlignment="1">
      <alignment horizontal="center" vertical="center" wrapText="1"/>
    </xf>
    <xf numFmtId="165" fontId="8" fillId="0" borderId="11" xfId="1" applyNumberFormat="1" applyFont="1" applyBorder="1" applyAlignment="1">
      <alignment horizontal="center" vertical="center" wrapText="1"/>
    </xf>
    <xf numFmtId="0" fontId="8" fillId="0" borderId="2" xfId="1" applyFont="1" applyBorder="1" applyAlignment="1">
      <alignment vertical="center" wrapText="1"/>
    </xf>
    <xf numFmtId="0" fontId="8" fillId="0" borderId="2" xfId="1" applyFont="1" applyBorder="1"/>
    <xf numFmtId="0" fontId="8" fillId="0" borderId="12" xfId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17" fillId="0" borderId="1" xfId="1" applyFont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164" fontId="8" fillId="0" borderId="10" xfId="1" applyNumberFormat="1" applyFont="1" applyBorder="1" applyAlignment="1">
      <alignment horizontal="center" vertical="top" wrapText="1"/>
    </xf>
    <xf numFmtId="164" fontId="8" fillId="0" borderId="12" xfId="1" applyNumberFormat="1" applyFont="1" applyBorder="1" applyAlignment="1">
      <alignment horizontal="center" vertical="top" wrapText="1"/>
    </xf>
    <xf numFmtId="164" fontId="31" fillId="0" borderId="3" xfId="1" applyNumberFormat="1" applyFont="1" applyBorder="1" applyAlignment="1">
      <alignment horizontal="center" vertical="center" wrapText="1"/>
    </xf>
    <xf numFmtId="164" fontId="31" fillId="0" borderId="7" xfId="1" applyNumberFormat="1" applyFont="1" applyBorder="1" applyAlignment="1">
      <alignment horizontal="center" vertical="center" wrapText="1"/>
    </xf>
    <xf numFmtId="164" fontId="31" fillId="0" borderId="4" xfId="1" applyNumberFormat="1" applyFont="1" applyBorder="1" applyAlignment="1">
      <alignment horizontal="center" vertical="center" wrapText="1"/>
    </xf>
    <xf numFmtId="164" fontId="31" fillId="0" borderId="5" xfId="1" applyNumberFormat="1" applyFont="1" applyBorder="1" applyAlignment="1">
      <alignment horizontal="center" vertical="center" wrapText="1"/>
    </xf>
    <xf numFmtId="164" fontId="31" fillId="0" borderId="8" xfId="1" applyNumberFormat="1" applyFont="1" applyBorder="1" applyAlignment="1">
      <alignment horizontal="center" vertical="center" wrapText="1"/>
    </xf>
    <xf numFmtId="164" fontId="31" fillId="0" borderId="6" xfId="1" applyNumberFormat="1" applyFont="1" applyBorder="1" applyAlignment="1">
      <alignment horizontal="center" vertical="center" wrapText="1"/>
    </xf>
    <xf numFmtId="0" fontId="8" fillId="0" borderId="12" xfId="1" applyFont="1" applyBorder="1" applyAlignment="1">
      <alignment vertical="top" wrapText="1"/>
    </xf>
    <xf numFmtId="0" fontId="8" fillId="0" borderId="11" xfId="1" applyFont="1" applyBorder="1" applyAlignment="1">
      <alignment vertical="top" wrapText="1"/>
    </xf>
    <xf numFmtId="164" fontId="8" fillId="0" borderId="10" xfId="1" applyNumberFormat="1" applyFont="1" applyBorder="1" applyAlignment="1">
      <alignment horizontal="center"/>
    </xf>
    <xf numFmtId="0" fontId="8" fillId="0" borderId="11" xfId="1" applyFont="1" applyBorder="1" applyAlignment="1">
      <alignment horizontal="center"/>
    </xf>
    <xf numFmtId="164" fontId="20" fillId="0" borderId="10" xfId="1" applyNumberFormat="1" applyFont="1" applyBorder="1" applyAlignment="1">
      <alignment horizontal="center" vertical="center" wrapText="1"/>
    </xf>
    <xf numFmtId="164" fontId="20" fillId="0" borderId="11" xfId="1" applyNumberFormat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</cellXfs>
  <cellStyles count="4">
    <cellStyle name="Normal" xfId="0" builtinId="0"/>
    <cellStyle name="Normal 2" xfId="1" xr:uid="{77A40374-503B-8A42-A466-94D42DA64502}"/>
    <cellStyle name="Normal 3" xfId="3" xr:uid="{073E1593-55C9-EC43-9F37-2C84F0D2ECE5}"/>
    <cellStyle name="Обычный 2" xfId="2" xr:uid="{AFBCA0F8-F16A-A74C-B137-619F09C54CD3}"/>
  </cellStyles>
  <dxfs count="0"/>
  <tableStyles count="0" defaultTableStyle="TableStyleMedium2" defaultPivotStyle="PivotStyleLight16"/>
  <colors>
    <mruColors>
      <color rgb="FFFEFF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33144</xdr:colOff>
      <xdr:row>3</xdr:row>
      <xdr:rowOff>0</xdr:rowOff>
    </xdr:to>
    <xdr:pic>
      <xdr:nvPicPr>
        <xdr:cNvPr id="2" name="Изображение 7">
          <a:extLst>
            <a:ext uri="{FF2B5EF4-FFF2-40B4-BE49-F238E27FC236}">
              <a16:creationId xmlns:a16="http://schemas.microsoft.com/office/drawing/2014/main" id="{A4199072-DF8C-D649-A8DB-01D74DB00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992744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31750</xdr:colOff>
      <xdr:row>59</xdr:row>
      <xdr:rowOff>130175</xdr:rowOff>
    </xdr:from>
    <xdr:to>
      <xdr:col>0</xdr:col>
      <xdr:colOff>1022350</xdr:colOff>
      <xdr:row>61</xdr:row>
      <xdr:rowOff>111125</xdr:rowOff>
    </xdr:to>
    <xdr:pic>
      <xdr:nvPicPr>
        <xdr:cNvPr id="3" name="Picture 269">
          <a:extLst>
            <a:ext uri="{FF2B5EF4-FFF2-40B4-BE49-F238E27FC236}">
              <a16:creationId xmlns:a16="http://schemas.microsoft.com/office/drawing/2014/main" id="{3FFBA40A-2362-8840-B2E1-0CCF60389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10290175"/>
          <a:ext cx="99060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320675</xdr:colOff>
      <xdr:row>59</xdr:row>
      <xdr:rowOff>82550</xdr:rowOff>
    </xdr:from>
    <xdr:to>
      <xdr:col>5</xdr:col>
      <xdr:colOff>482600</xdr:colOff>
      <xdr:row>61</xdr:row>
      <xdr:rowOff>12700</xdr:rowOff>
    </xdr:to>
    <xdr:pic>
      <xdr:nvPicPr>
        <xdr:cNvPr id="4" name="Изображение 8">
          <a:extLst>
            <a:ext uri="{FF2B5EF4-FFF2-40B4-BE49-F238E27FC236}">
              <a16:creationId xmlns:a16="http://schemas.microsoft.com/office/drawing/2014/main" id="{B17BB409-021B-4648-8B9E-2CA5104CE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675" y="10242550"/>
          <a:ext cx="6245225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1117600</xdr:colOff>
      <xdr:row>59</xdr:row>
      <xdr:rowOff>114300</xdr:rowOff>
    </xdr:from>
    <xdr:to>
      <xdr:col>5</xdr:col>
      <xdr:colOff>812800</xdr:colOff>
      <xdr:row>62</xdr:row>
      <xdr:rowOff>3175</xdr:rowOff>
    </xdr:to>
    <xdr:pic>
      <xdr:nvPicPr>
        <xdr:cNvPr id="5" name="Picture 271">
          <a:extLst>
            <a:ext uri="{FF2B5EF4-FFF2-40B4-BE49-F238E27FC236}">
              <a16:creationId xmlns:a16="http://schemas.microsoft.com/office/drawing/2014/main" id="{1C5CEE4B-D3E5-A04D-9B51-1D0890177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10274300"/>
          <a:ext cx="876300" cy="384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5015-05BB-6048-81B4-1C7A8AD0423C}">
  <sheetPr>
    <tabColor rgb="FFFF0000"/>
    <pageSetUpPr fitToPage="1"/>
  </sheetPr>
  <dimension ref="A1:P55"/>
  <sheetViews>
    <sheetView tabSelected="1" view="pageBreakPreview" zoomScale="140" zoomScaleNormal="176" zoomScaleSheetLayoutView="140" workbookViewId="0">
      <selection activeCell="C15" sqref="C15:D15"/>
    </sheetView>
  </sheetViews>
  <sheetFormatPr defaultColWidth="8.85546875" defaultRowHeight="12.75"/>
  <cols>
    <col min="1" max="1" width="29.28515625" style="2" customWidth="1"/>
    <col min="2" max="2" width="4.42578125" style="2" customWidth="1"/>
    <col min="3" max="3" width="15.42578125" style="2" customWidth="1"/>
    <col min="4" max="4" width="15" style="2" customWidth="1"/>
    <col min="5" max="5" width="15.42578125" style="2" customWidth="1"/>
    <col min="6" max="6" width="11.42578125" style="2" customWidth="1"/>
    <col min="7" max="7" width="6.140625" style="2" customWidth="1"/>
    <col min="8" max="8" width="4.42578125" style="2" customWidth="1"/>
    <col min="9" max="9" width="17.28515625" style="2" customWidth="1"/>
    <col min="10" max="15" width="10" style="2" customWidth="1"/>
    <col min="16" max="16" width="4.85546875" style="2" customWidth="1"/>
    <col min="17" max="16384" width="8.85546875" style="2"/>
  </cols>
  <sheetData>
    <row r="1" spans="1:9" ht="21" customHeight="1">
      <c r="B1" s="3"/>
      <c r="C1" s="3"/>
      <c r="D1" s="3"/>
      <c r="E1" s="3"/>
      <c r="F1" s="3"/>
      <c r="G1" s="3"/>
      <c r="H1" s="3"/>
    </row>
    <row r="2" spans="1:9" ht="21" customHeight="1">
      <c r="B2" s="3"/>
      <c r="C2" s="3"/>
      <c r="D2" s="3"/>
      <c r="F2" s="4"/>
      <c r="G2" s="3"/>
      <c r="H2" s="3"/>
    </row>
    <row r="3" spans="1:9" ht="21" customHeight="1">
      <c r="B3" s="85" t="s">
        <v>2</v>
      </c>
      <c r="C3" s="85"/>
      <c r="D3" s="85"/>
      <c r="E3" s="4"/>
      <c r="F3" s="4"/>
      <c r="G3" s="3"/>
      <c r="H3" s="3"/>
    </row>
    <row r="4" spans="1:9" ht="12.95" customHeight="1">
      <c r="A4" s="3"/>
      <c r="B4" s="86"/>
      <c r="C4" s="86"/>
      <c r="D4" s="86"/>
      <c r="E4" s="4"/>
      <c r="F4" s="4"/>
      <c r="G4" s="3"/>
      <c r="H4" s="5"/>
      <c r="I4" s="6"/>
    </row>
    <row r="5" spans="1:9" s="25" customFormat="1" ht="18.75" customHeight="1">
      <c r="A5" s="27" t="e">
        <f>"Ref : " &amp;#REF!</f>
        <v>#REF!</v>
      </c>
      <c r="B5" s="28"/>
      <c r="C5" s="29" t="e">
        <f>"Vessel : " &amp;#REF!</f>
        <v>#REF!</v>
      </c>
      <c r="D5" s="28"/>
      <c r="E5" s="83" t="e">
        <f>"Port : " &amp;#REF!</f>
        <v>#REF!</v>
      </c>
      <c r="F5" s="84"/>
      <c r="H5" s="26"/>
      <c r="I5" s="26"/>
    </row>
    <row r="6" spans="1:9" s="9" customFormat="1" ht="14.25">
      <c r="A6" s="30" t="e">
        <f>"Cargo : " &amp;#REF!</f>
        <v>#REF!</v>
      </c>
      <c r="B6" s="31"/>
      <c r="C6" s="32"/>
      <c r="D6" s="33"/>
      <c r="E6" s="95" t="e">
        <f>"B/L : " &amp;#REF! &amp; " mt"</f>
        <v>#REF!</v>
      </c>
      <c r="F6" s="96"/>
      <c r="H6" s="34"/>
      <c r="I6" s="24"/>
    </row>
    <row r="7" spans="1:9" s="9" customFormat="1" ht="14.25">
      <c r="A7" s="7"/>
      <c r="B7" s="8"/>
      <c r="C7" s="61" t="s">
        <v>3</v>
      </c>
      <c r="D7" s="61"/>
      <c r="E7" s="61" t="s">
        <v>4</v>
      </c>
      <c r="F7" s="61"/>
    </row>
    <row r="8" spans="1:9" s="9" customFormat="1">
      <c r="A8" s="62" t="s">
        <v>5</v>
      </c>
      <c r="B8" s="62"/>
      <c r="C8" s="11" t="e">
        <f>#REF!</f>
        <v>#REF!</v>
      </c>
      <c r="D8" s="12" t="e">
        <f>#REF!</f>
        <v>#REF!</v>
      </c>
      <c r="E8" s="11" t="e">
        <f>#REF!</f>
        <v>#REF!</v>
      </c>
      <c r="F8" s="12" t="e">
        <f>#REF!</f>
        <v>#REF!</v>
      </c>
    </row>
    <row r="9" spans="1:9" s="9" customFormat="1">
      <c r="A9" s="62" t="s">
        <v>6</v>
      </c>
      <c r="B9" s="62"/>
      <c r="C9" s="11" t="e">
        <f>C8</f>
        <v>#REF!</v>
      </c>
      <c r="D9" s="12" t="e">
        <f>#REF!</f>
        <v>#REF!</v>
      </c>
      <c r="E9" s="11" t="e">
        <f>E8</f>
        <v>#REF!</v>
      </c>
      <c r="F9" s="12" t="e">
        <f>#REF!</f>
        <v>#REF!</v>
      </c>
    </row>
    <row r="10" spans="1:9" s="9" customFormat="1">
      <c r="A10" s="62" t="s">
        <v>7</v>
      </c>
      <c r="B10" s="62"/>
      <c r="C10" s="63" t="s">
        <v>50</v>
      </c>
      <c r="D10" s="63"/>
      <c r="E10" s="63" t="s">
        <v>50</v>
      </c>
      <c r="F10" s="63"/>
    </row>
    <row r="11" spans="1:9" s="9" customFormat="1">
      <c r="A11" s="14" t="s">
        <v>8</v>
      </c>
      <c r="B11" s="15" t="s">
        <v>9</v>
      </c>
      <c r="C11" s="64" t="e">
        <f>#REF!</f>
        <v>#REF!</v>
      </c>
      <c r="D11" s="65"/>
      <c r="E11" s="66" t="e">
        <f>#REF!</f>
        <v>#REF!</v>
      </c>
      <c r="F11" s="66"/>
    </row>
    <row r="12" spans="1:9" s="9" customFormat="1">
      <c r="A12" s="10" t="s">
        <v>10</v>
      </c>
      <c r="B12" s="13" t="s">
        <v>9</v>
      </c>
      <c r="C12" s="64" t="e">
        <f>#REF!</f>
        <v>#REF!</v>
      </c>
      <c r="D12" s="65"/>
      <c r="E12" s="66" t="e">
        <f>#REF!</f>
        <v>#REF!</v>
      </c>
      <c r="F12" s="66"/>
    </row>
    <row r="13" spans="1:9" s="9" customFormat="1">
      <c r="A13" s="10" t="s">
        <v>11</v>
      </c>
      <c r="B13" s="13" t="s">
        <v>9</v>
      </c>
      <c r="C13" s="67" t="e">
        <f>#REF!</f>
        <v>#REF!</v>
      </c>
      <c r="D13" s="68"/>
      <c r="E13" s="67" t="e">
        <f>#REF!</f>
        <v>#REF!</v>
      </c>
      <c r="F13" s="68"/>
    </row>
    <row r="14" spans="1:9" s="9" customFormat="1">
      <c r="A14" s="10" t="s">
        <v>12</v>
      </c>
      <c r="B14" s="13" t="s">
        <v>9</v>
      </c>
      <c r="C14" s="67" t="e">
        <f>#REF!</f>
        <v>#REF!</v>
      </c>
      <c r="D14" s="68"/>
      <c r="E14" s="67" t="e">
        <f>#REF!</f>
        <v>#REF!</v>
      </c>
      <c r="F14" s="68"/>
    </row>
    <row r="15" spans="1:9" s="9" customFormat="1">
      <c r="A15" s="10" t="s">
        <v>13</v>
      </c>
      <c r="B15" s="13" t="s">
        <v>9</v>
      </c>
      <c r="C15" s="69" t="e">
        <f>#REF!</f>
        <v>#REF!</v>
      </c>
      <c r="D15" s="70"/>
      <c r="E15" s="69" t="e">
        <f>#REF!</f>
        <v>#REF!</v>
      </c>
      <c r="F15" s="70"/>
    </row>
    <row r="16" spans="1:9" s="9" customFormat="1">
      <c r="A16" s="10" t="s">
        <v>14</v>
      </c>
      <c r="B16" s="13" t="s">
        <v>9</v>
      </c>
      <c r="C16" s="71" t="e">
        <f>#REF!</f>
        <v>#REF!</v>
      </c>
      <c r="D16" s="72"/>
      <c r="E16" s="73" t="e">
        <f>#REF!</f>
        <v>#REF!</v>
      </c>
      <c r="F16" s="73"/>
    </row>
    <row r="17" spans="1:16" s="9" customFormat="1">
      <c r="A17" s="10" t="s">
        <v>15</v>
      </c>
      <c r="B17" s="13" t="s">
        <v>9</v>
      </c>
      <c r="C17" s="71" t="e">
        <f>#REF!</f>
        <v>#REF!</v>
      </c>
      <c r="D17" s="72"/>
      <c r="E17" s="73" t="e">
        <f>#REF!</f>
        <v>#REF!</v>
      </c>
      <c r="F17" s="73"/>
    </row>
    <row r="18" spans="1:16" s="9" customFormat="1">
      <c r="A18" s="10" t="s">
        <v>16</v>
      </c>
      <c r="B18" s="13" t="s">
        <v>9</v>
      </c>
      <c r="C18" s="67" t="e">
        <f>#REF!</f>
        <v>#REF!</v>
      </c>
      <c r="D18" s="68"/>
      <c r="E18" s="67" t="e">
        <f>#REF!</f>
        <v>#REF!</v>
      </c>
      <c r="F18" s="68"/>
    </row>
    <row r="19" spans="1:16" s="9" customFormat="1">
      <c r="A19" s="10" t="s">
        <v>17</v>
      </c>
      <c r="B19" s="13" t="s">
        <v>9</v>
      </c>
      <c r="C19" s="67" t="e">
        <f>#REF!</f>
        <v>#REF!</v>
      </c>
      <c r="D19" s="68"/>
      <c r="E19" s="67" t="e">
        <f>#REF!</f>
        <v>#REF!</v>
      </c>
      <c r="F19" s="68"/>
    </row>
    <row r="20" spans="1:16" s="9" customFormat="1">
      <c r="A20" s="10" t="s">
        <v>18</v>
      </c>
      <c r="B20" s="13" t="s">
        <v>9</v>
      </c>
      <c r="C20" s="69" t="e">
        <f>#REF!</f>
        <v>#REF!</v>
      </c>
      <c r="D20" s="70"/>
      <c r="E20" s="69" t="e">
        <f>#REF!</f>
        <v>#REF!</v>
      </c>
      <c r="F20" s="70"/>
      <c r="J20" s="35"/>
      <c r="K20" s="38"/>
      <c r="M20" s="35"/>
      <c r="N20" s="38"/>
    </row>
    <row r="21" spans="1:16" s="9" customFormat="1">
      <c r="A21" s="10" t="s">
        <v>19</v>
      </c>
      <c r="B21" s="13" t="s">
        <v>9</v>
      </c>
      <c r="C21" s="71" t="e">
        <f>#REF!</f>
        <v>#REF!</v>
      </c>
      <c r="D21" s="72"/>
      <c r="E21" s="73" t="e">
        <f>#REF!</f>
        <v>#REF!</v>
      </c>
      <c r="F21" s="73"/>
      <c r="J21" s="35"/>
      <c r="K21" s="38"/>
      <c r="M21" s="35"/>
      <c r="N21" s="38"/>
    </row>
    <row r="22" spans="1:16" s="9" customFormat="1">
      <c r="A22" s="10" t="s">
        <v>20</v>
      </c>
      <c r="B22" s="13" t="s">
        <v>9</v>
      </c>
      <c r="C22" s="71" t="e">
        <f>#REF!</f>
        <v>#REF!</v>
      </c>
      <c r="D22" s="72"/>
      <c r="E22" s="73" t="e">
        <f>#REF!</f>
        <v>#REF!</v>
      </c>
      <c r="F22" s="73"/>
      <c r="J22" s="35"/>
      <c r="K22" s="38"/>
      <c r="M22" s="35"/>
      <c r="N22" s="38"/>
    </row>
    <row r="23" spans="1:16" s="9" customFormat="1">
      <c r="A23" s="10" t="s">
        <v>21</v>
      </c>
      <c r="B23" s="13" t="s">
        <v>9</v>
      </c>
      <c r="C23" s="67" t="e">
        <f>#REF!</f>
        <v>#REF!</v>
      </c>
      <c r="D23" s="68"/>
      <c r="E23" s="67" t="e">
        <f>#REF!</f>
        <v>#REF!</v>
      </c>
      <c r="F23" s="68"/>
    </row>
    <row r="24" spans="1:16" s="9" customFormat="1">
      <c r="A24" s="10" t="s">
        <v>42</v>
      </c>
      <c r="B24" s="13" t="s">
        <v>9</v>
      </c>
      <c r="C24" s="67" t="e">
        <f>#REF!</f>
        <v>#REF!</v>
      </c>
      <c r="D24" s="68"/>
      <c r="E24" s="74" t="e">
        <f>#REF!</f>
        <v>#REF!</v>
      </c>
      <c r="F24" s="74"/>
    </row>
    <row r="25" spans="1:16" s="9" customFormat="1">
      <c r="A25" s="10" t="s">
        <v>22</v>
      </c>
      <c r="B25" s="13" t="s">
        <v>9</v>
      </c>
      <c r="C25" s="69" t="e">
        <f>#REF!</f>
        <v>#REF!</v>
      </c>
      <c r="D25" s="70"/>
      <c r="E25" s="69" t="e">
        <f>#REF!</f>
        <v>#REF!</v>
      </c>
      <c r="F25" s="70"/>
    </row>
    <row r="26" spans="1:16" s="9" customFormat="1">
      <c r="A26" s="10" t="s">
        <v>23</v>
      </c>
      <c r="B26" s="13" t="s">
        <v>9</v>
      </c>
      <c r="C26" s="67" t="e">
        <f>ROUND(((#REF!+#REF!)/2),3)</f>
        <v>#REF!</v>
      </c>
      <c r="D26" s="68"/>
      <c r="E26" s="67" t="e">
        <f>ROUND(((#REF!+#REF!)/2),3)</f>
        <v>#REF!</v>
      </c>
      <c r="F26" s="68"/>
    </row>
    <row r="27" spans="1:16" s="9" customFormat="1">
      <c r="A27" s="10" t="s">
        <v>24</v>
      </c>
      <c r="B27" s="13" t="s">
        <v>9</v>
      </c>
      <c r="C27" s="67" t="e">
        <f>ROUND(((C26+C23)/2),3)</f>
        <v>#REF!</v>
      </c>
      <c r="D27" s="68"/>
      <c r="E27" s="67" t="e">
        <f>ROUND((SUM(E26,E25)/2),3)</f>
        <v>#REF!</v>
      </c>
      <c r="F27" s="68"/>
    </row>
    <row r="28" spans="1:16" s="42" customFormat="1">
      <c r="A28" s="40" t="s">
        <v>43</v>
      </c>
      <c r="B28" s="41" t="s">
        <v>9</v>
      </c>
      <c r="C28" s="75" t="e">
        <f>#REF!</f>
        <v>#REF!</v>
      </c>
      <c r="D28" s="76"/>
      <c r="E28" s="75" t="e">
        <f>#REF!</f>
        <v>#REF!</v>
      </c>
      <c r="F28" s="76"/>
      <c r="H28" s="43"/>
      <c r="I28" s="44"/>
      <c r="J28" s="43"/>
      <c r="K28" s="45"/>
      <c r="L28" s="43"/>
      <c r="M28" s="43"/>
      <c r="N28" s="45"/>
      <c r="O28" s="43"/>
      <c r="P28" s="43"/>
    </row>
    <row r="29" spans="1:16" ht="8.1" customHeight="1">
      <c r="A29" s="18"/>
      <c r="B29" s="18"/>
      <c r="C29" s="19"/>
      <c r="D29" s="19"/>
      <c r="E29" s="19"/>
      <c r="F29" s="19"/>
      <c r="H29" s="16"/>
      <c r="I29" s="17"/>
      <c r="J29" s="20"/>
      <c r="K29" s="21"/>
      <c r="L29" s="20"/>
      <c r="M29" s="20"/>
      <c r="N29" s="21"/>
      <c r="O29" s="20"/>
      <c r="P29" s="16"/>
    </row>
    <row r="30" spans="1:16" s="9" customFormat="1" ht="14.1" customHeight="1">
      <c r="A30" s="46" t="s">
        <v>25</v>
      </c>
      <c r="B30" s="13" t="s">
        <v>9</v>
      </c>
      <c r="C30" s="74" t="e">
        <f>#REF!</f>
        <v>#REF!</v>
      </c>
      <c r="D30" s="77"/>
      <c r="E30" s="74" t="e">
        <f>#REF!</f>
        <v>#REF!</v>
      </c>
      <c r="F30" s="77"/>
      <c r="H30" s="36"/>
      <c r="I30" s="37"/>
      <c r="J30" s="47"/>
      <c r="K30" s="48"/>
      <c r="L30" s="47"/>
      <c r="M30" s="47"/>
      <c r="N30" s="48"/>
      <c r="O30" s="47"/>
      <c r="P30" s="36"/>
    </row>
    <row r="31" spans="1:16" s="9" customFormat="1" ht="14.1" customHeight="1">
      <c r="A31" s="46" t="s">
        <v>0</v>
      </c>
      <c r="B31" s="13" t="s">
        <v>26</v>
      </c>
      <c r="C31" s="74" t="e">
        <f>#REF!</f>
        <v>#REF!</v>
      </c>
      <c r="D31" s="74"/>
      <c r="E31" s="74" t="e">
        <f>#REF!</f>
        <v>#REF!</v>
      </c>
      <c r="F31" s="74"/>
      <c r="H31" s="49"/>
      <c r="I31" s="37"/>
      <c r="J31" s="47"/>
      <c r="K31" s="48"/>
      <c r="L31" s="47"/>
      <c r="M31" s="47"/>
      <c r="N31" s="48"/>
      <c r="O31" s="47"/>
      <c r="P31" s="49"/>
    </row>
    <row r="32" spans="1:16" s="9" customFormat="1" ht="14.1" customHeight="1">
      <c r="A32" s="46" t="s">
        <v>1</v>
      </c>
      <c r="B32" s="13" t="s">
        <v>9</v>
      </c>
      <c r="C32" s="74" t="e">
        <f>#REF!</f>
        <v>#REF!</v>
      </c>
      <c r="D32" s="74"/>
      <c r="E32" s="74" t="e">
        <f>#REF!</f>
        <v>#REF!</v>
      </c>
      <c r="F32" s="74"/>
      <c r="H32" s="36"/>
      <c r="I32" s="37"/>
      <c r="J32" s="47"/>
      <c r="K32" s="48"/>
      <c r="L32" s="47"/>
      <c r="M32" s="47"/>
      <c r="N32" s="48"/>
      <c r="O32" s="47"/>
      <c r="P32" s="37"/>
    </row>
    <row r="33" spans="1:16" s="9" customFormat="1" ht="14.1" customHeight="1">
      <c r="A33" s="46" t="s">
        <v>27</v>
      </c>
      <c r="B33" s="13" t="s">
        <v>26</v>
      </c>
      <c r="C33" s="74" t="e">
        <f>#REF!</f>
        <v>#REF!</v>
      </c>
      <c r="D33" s="74"/>
      <c r="E33" s="74" t="e">
        <f>#REF!</f>
        <v>#REF!</v>
      </c>
      <c r="F33" s="74"/>
      <c r="H33" s="36"/>
      <c r="I33" s="50"/>
      <c r="J33" s="47"/>
      <c r="K33" s="48"/>
      <c r="L33" s="47"/>
      <c r="M33" s="47"/>
      <c r="N33" s="48"/>
      <c r="O33" s="47"/>
      <c r="P33" s="50"/>
    </row>
    <row r="34" spans="1:16" s="9" customFormat="1" ht="14.1" customHeight="1">
      <c r="A34" s="46" t="s">
        <v>28</v>
      </c>
      <c r="B34" s="13" t="s">
        <v>26</v>
      </c>
      <c r="C34" s="74" t="e">
        <f>#REF!</f>
        <v>#REF!</v>
      </c>
      <c r="D34" s="74"/>
      <c r="E34" s="74" t="e">
        <f>#REF!</f>
        <v>#REF!</v>
      </c>
      <c r="F34" s="74"/>
      <c r="H34" s="36"/>
      <c r="I34" s="50"/>
      <c r="J34" s="47"/>
      <c r="K34" s="48"/>
      <c r="L34" s="47"/>
      <c r="M34" s="47"/>
      <c r="N34" s="48"/>
      <c r="O34" s="47"/>
      <c r="P34" s="50"/>
    </row>
    <row r="35" spans="1:16" s="9" customFormat="1" ht="14.1" customHeight="1">
      <c r="A35" s="51" t="s">
        <v>44</v>
      </c>
      <c r="B35" s="52" t="s">
        <v>9</v>
      </c>
      <c r="C35" s="74" t="e">
        <f>#REF!</f>
        <v>#REF!</v>
      </c>
      <c r="D35" s="74"/>
      <c r="E35" s="74" t="e">
        <f>#REF!</f>
        <v>#REF!</v>
      </c>
      <c r="F35" s="74"/>
      <c r="H35" s="36"/>
      <c r="I35" s="37"/>
      <c r="J35" s="53"/>
      <c r="K35" s="48"/>
      <c r="L35" s="53"/>
      <c r="M35" s="53"/>
      <c r="N35" s="48"/>
      <c r="O35" s="53"/>
      <c r="P35" s="36"/>
    </row>
    <row r="36" spans="1:16" s="9" customFormat="1" ht="14.1" customHeight="1">
      <c r="A36" s="51" t="s">
        <v>45</v>
      </c>
      <c r="B36" s="52" t="s">
        <v>9</v>
      </c>
      <c r="C36" s="74" t="e">
        <f>#REF!</f>
        <v>#REF!</v>
      </c>
      <c r="D36" s="78"/>
      <c r="E36" s="74" t="e">
        <f>#REF!</f>
        <v>#REF!</v>
      </c>
      <c r="F36" s="78"/>
      <c r="H36" s="36"/>
      <c r="I36" s="37"/>
      <c r="J36" s="53"/>
      <c r="K36" s="48"/>
      <c r="L36" s="53"/>
      <c r="M36" s="53"/>
      <c r="N36" s="48"/>
      <c r="O36" s="53"/>
      <c r="P36" s="36"/>
    </row>
    <row r="37" spans="1:16" s="9" customFormat="1" ht="14.1" customHeight="1">
      <c r="A37" s="46" t="s">
        <v>46</v>
      </c>
      <c r="B37" s="13" t="s">
        <v>29</v>
      </c>
      <c r="C37" s="74">
        <v>1.0249999999999999</v>
      </c>
      <c r="D37" s="74"/>
      <c r="E37" s="74">
        <v>1.0249999999999999</v>
      </c>
      <c r="F37" s="74"/>
      <c r="H37" s="36"/>
      <c r="I37" s="37"/>
      <c r="J37" s="53"/>
      <c r="K37" s="54"/>
      <c r="L37" s="53"/>
      <c r="M37" s="53"/>
      <c r="N37" s="54"/>
      <c r="O37" s="53"/>
      <c r="P37" s="36"/>
    </row>
    <row r="38" spans="1:16" s="9" customFormat="1" ht="14.1" customHeight="1">
      <c r="A38" s="46" t="s">
        <v>30</v>
      </c>
      <c r="B38" s="13" t="s">
        <v>31</v>
      </c>
      <c r="C38" s="74" t="e">
        <f>#REF!</f>
        <v>#REF!</v>
      </c>
      <c r="D38" s="74"/>
      <c r="E38" s="74" t="e">
        <f>#REF!</f>
        <v>#REF!</v>
      </c>
      <c r="F38" s="74"/>
      <c r="H38" s="36"/>
      <c r="I38" s="37"/>
      <c r="J38" s="36"/>
      <c r="K38" s="55"/>
      <c r="L38" s="53"/>
      <c r="M38" s="53"/>
      <c r="N38" s="55"/>
      <c r="O38" s="53"/>
      <c r="P38" s="36"/>
    </row>
    <row r="39" spans="1:16" s="9" customFormat="1" ht="14.1" customHeight="1">
      <c r="A39" s="46" t="s">
        <v>32</v>
      </c>
      <c r="B39" s="13" t="s">
        <v>31</v>
      </c>
      <c r="C39" s="74" t="e">
        <f>#REF!</f>
        <v>#REF!</v>
      </c>
      <c r="D39" s="74"/>
      <c r="E39" s="74" t="e">
        <f>#REF!</f>
        <v>#REF!</v>
      </c>
      <c r="F39" s="74"/>
      <c r="H39" s="36"/>
      <c r="I39" s="56"/>
      <c r="J39" s="57"/>
      <c r="K39" s="53"/>
      <c r="L39" s="53"/>
      <c r="M39" s="53"/>
      <c r="N39" s="53"/>
      <c r="O39" s="53"/>
      <c r="P39" s="36"/>
    </row>
    <row r="40" spans="1:16" s="9" customFormat="1" ht="14.1" customHeight="1">
      <c r="A40" s="46" t="s">
        <v>33</v>
      </c>
      <c r="B40" s="13" t="s">
        <v>31</v>
      </c>
      <c r="C40" s="67" t="e">
        <f>#REF!</f>
        <v>#REF!</v>
      </c>
      <c r="D40" s="68"/>
      <c r="E40" s="67" t="e">
        <f>#REF!</f>
        <v>#REF!</v>
      </c>
      <c r="F40" s="68"/>
      <c r="H40" s="36"/>
      <c r="I40" s="39"/>
      <c r="J40" s="58"/>
      <c r="K40" s="36"/>
      <c r="L40" s="36"/>
      <c r="M40" s="36"/>
      <c r="N40" s="36"/>
      <c r="O40" s="36"/>
      <c r="P40" s="36"/>
    </row>
    <row r="41" spans="1:16" s="9" customFormat="1" ht="14.1" customHeight="1">
      <c r="A41" s="46" t="s">
        <v>34</v>
      </c>
      <c r="B41" s="13" t="s">
        <v>29</v>
      </c>
      <c r="C41" s="79" t="e">
        <f>#REF!</f>
        <v>#REF!</v>
      </c>
      <c r="D41" s="80"/>
      <c r="E41" s="79" t="e">
        <f>#REF!</f>
        <v>#REF!</v>
      </c>
      <c r="F41" s="80"/>
    </row>
    <row r="42" spans="1:16" s="42" customFormat="1" ht="14.1" customHeight="1">
      <c r="A42" s="60" t="s">
        <v>35</v>
      </c>
      <c r="B42" s="41" t="s">
        <v>31</v>
      </c>
      <c r="C42" s="75" t="e">
        <f>#REF!</f>
        <v>#REF!</v>
      </c>
      <c r="D42" s="76"/>
      <c r="E42" s="75" t="e">
        <f>#REF!</f>
        <v>#REF!</v>
      </c>
      <c r="F42" s="76"/>
    </row>
    <row r="43" spans="1:16" ht="8.1" customHeight="1">
      <c r="A43" s="22"/>
      <c r="B43" s="23"/>
      <c r="C43" s="23"/>
      <c r="D43" s="23"/>
      <c r="E43" s="23"/>
      <c r="F43" s="23"/>
    </row>
    <row r="44" spans="1:16" s="9" customFormat="1" ht="14.1" customHeight="1">
      <c r="A44" s="10" t="s">
        <v>49</v>
      </c>
      <c r="B44" s="13" t="s">
        <v>31</v>
      </c>
      <c r="C44" s="67" t="e">
        <f>#REF!</f>
        <v>#REF!</v>
      </c>
      <c r="D44" s="68"/>
      <c r="E44" s="67" t="e">
        <f>#REF!</f>
        <v>#REF!</v>
      </c>
      <c r="F44" s="68"/>
    </row>
    <row r="45" spans="1:16" s="9" customFormat="1" ht="14.1" customHeight="1">
      <c r="A45" s="10" t="s">
        <v>36</v>
      </c>
      <c r="B45" s="13" t="s">
        <v>31</v>
      </c>
      <c r="C45" s="67" t="e">
        <f>#REF!</f>
        <v>#REF!</v>
      </c>
      <c r="D45" s="68"/>
      <c r="E45" s="67" t="e">
        <f>#REF!</f>
        <v>#REF!</v>
      </c>
      <c r="F45" s="68"/>
    </row>
    <row r="46" spans="1:16" s="9" customFormat="1" ht="14.1" customHeight="1">
      <c r="A46" s="10" t="s">
        <v>37</v>
      </c>
      <c r="B46" s="13" t="s">
        <v>31</v>
      </c>
      <c r="C46" s="67" t="e">
        <f>#REF!</f>
        <v>#REF!</v>
      </c>
      <c r="D46" s="68"/>
      <c r="E46" s="67" t="e">
        <f>#REF!</f>
        <v>#REF!</v>
      </c>
      <c r="F46" s="68"/>
    </row>
    <row r="47" spans="1:16" s="9" customFormat="1" ht="14.1" customHeight="1">
      <c r="A47" s="10" t="s">
        <v>38</v>
      </c>
      <c r="B47" s="13" t="s">
        <v>31</v>
      </c>
      <c r="C47" s="67" t="e">
        <f>#REF!</f>
        <v>#REF!</v>
      </c>
      <c r="D47" s="68"/>
      <c r="E47" s="67" t="e">
        <f>#REF!</f>
        <v>#REF!</v>
      </c>
      <c r="F47" s="68"/>
    </row>
    <row r="48" spans="1:16" s="9" customFormat="1" ht="14.1" customHeight="1">
      <c r="A48" s="10" t="s">
        <v>39</v>
      </c>
      <c r="B48" s="13" t="s">
        <v>31</v>
      </c>
      <c r="C48" s="67" t="e">
        <f>#REF!</f>
        <v>#REF!</v>
      </c>
      <c r="D48" s="68"/>
      <c r="E48" s="67" t="e">
        <f>#REF!</f>
        <v>#REF!</v>
      </c>
      <c r="F48" s="68"/>
    </row>
    <row r="49" spans="1:6" s="9" customFormat="1" ht="14.1" customHeight="1">
      <c r="A49" s="10" t="s">
        <v>40</v>
      </c>
      <c r="B49" s="13" t="s">
        <v>31</v>
      </c>
      <c r="C49" s="67" t="e">
        <f>#REF!</f>
        <v>#REF!</v>
      </c>
      <c r="D49" s="68"/>
      <c r="E49" s="67" t="e">
        <f>#REF!</f>
        <v>#REF!</v>
      </c>
      <c r="F49" s="68"/>
    </row>
    <row r="50" spans="1:6" s="9" customFormat="1" ht="14.1" customHeight="1">
      <c r="A50" s="59" t="s">
        <v>41</v>
      </c>
      <c r="B50" s="13" t="s">
        <v>31</v>
      </c>
      <c r="C50" s="99" t="e">
        <f>#REF!</f>
        <v>#REF!</v>
      </c>
      <c r="D50" s="100"/>
      <c r="E50" s="99" t="e">
        <f>#REF!</f>
        <v>#REF!</v>
      </c>
      <c r="F50" s="100"/>
    </row>
    <row r="51" spans="1:6" s="9" customFormat="1" ht="14.1" customHeight="1">
      <c r="A51" s="10" t="s">
        <v>47</v>
      </c>
      <c r="B51" s="13" t="s">
        <v>31</v>
      </c>
      <c r="C51" s="87" t="e">
        <f>#REF!</f>
        <v>#REF!</v>
      </c>
      <c r="D51" s="88"/>
      <c r="E51" s="97" t="e">
        <f>C51</f>
        <v>#REF!</v>
      </c>
      <c r="F51" s="98"/>
    </row>
    <row r="52" spans="1:6" ht="14.1" customHeight="1">
      <c r="A52" s="101" t="s">
        <v>51</v>
      </c>
      <c r="B52" s="102"/>
      <c r="C52" s="103"/>
      <c r="D52" s="89" t="e">
        <f>#REF!</f>
        <v>#REF!</v>
      </c>
      <c r="E52" s="90"/>
      <c r="F52" s="91"/>
    </row>
    <row r="53" spans="1:6" ht="14.1" customHeight="1">
      <c r="A53" s="104"/>
      <c r="B53" s="105"/>
      <c r="C53" s="106"/>
      <c r="D53" s="92"/>
      <c r="E53" s="93"/>
      <c r="F53" s="94"/>
    </row>
    <row r="54" spans="1:6">
      <c r="A54" s="81" t="s">
        <v>48</v>
      </c>
      <c r="B54" s="82"/>
      <c r="C54" s="82"/>
      <c r="D54" s="81" t="s">
        <v>52</v>
      </c>
      <c r="E54" s="82"/>
      <c r="F54" s="82"/>
    </row>
    <row r="55" spans="1:6" ht="8.1" customHeight="1">
      <c r="A55" s="82"/>
      <c r="B55" s="82"/>
      <c r="C55" s="82"/>
      <c r="D55" s="82"/>
      <c r="E55" s="82"/>
      <c r="F55" s="82"/>
    </row>
  </sheetData>
  <mergeCells count="92">
    <mergeCell ref="A54:C55"/>
    <mergeCell ref="D54:F55"/>
    <mergeCell ref="E5:F5"/>
    <mergeCell ref="B3:D4"/>
    <mergeCell ref="C51:D51"/>
    <mergeCell ref="D52:F53"/>
    <mergeCell ref="E6:F6"/>
    <mergeCell ref="E51:F51"/>
    <mergeCell ref="C49:D49"/>
    <mergeCell ref="E49:F49"/>
    <mergeCell ref="C50:D50"/>
    <mergeCell ref="E50:F50"/>
    <mergeCell ref="A52:C53"/>
    <mergeCell ref="C46:D46"/>
    <mergeCell ref="E46:F46"/>
    <mergeCell ref="C47:D47"/>
    <mergeCell ref="E47:F47"/>
    <mergeCell ref="C48:D48"/>
    <mergeCell ref="E48:F48"/>
    <mergeCell ref="C42:D42"/>
    <mergeCell ref="E42:F42"/>
    <mergeCell ref="C44:D44"/>
    <mergeCell ref="E44:F44"/>
    <mergeCell ref="C45:D45"/>
    <mergeCell ref="E45:F45"/>
    <mergeCell ref="C39:D39"/>
    <mergeCell ref="E39:F39"/>
    <mergeCell ref="C40:D40"/>
    <mergeCell ref="E40:F40"/>
    <mergeCell ref="C41:D41"/>
    <mergeCell ref="E41:F41"/>
    <mergeCell ref="C36:D36"/>
    <mergeCell ref="E36:F36"/>
    <mergeCell ref="C37:D37"/>
    <mergeCell ref="E37:F37"/>
    <mergeCell ref="C38:D38"/>
    <mergeCell ref="E38:F38"/>
    <mergeCell ref="C33:D33"/>
    <mergeCell ref="E33:F33"/>
    <mergeCell ref="C34:D34"/>
    <mergeCell ref="E34:F34"/>
    <mergeCell ref="C35:D35"/>
    <mergeCell ref="E35:F35"/>
    <mergeCell ref="C30:D30"/>
    <mergeCell ref="E30:F30"/>
    <mergeCell ref="C31:D31"/>
    <mergeCell ref="E31:F31"/>
    <mergeCell ref="C32:D32"/>
    <mergeCell ref="E32:F32"/>
    <mergeCell ref="C26:D26"/>
    <mergeCell ref="E26:F26"/>
    <mergeCell ref="C27:D27"/>
    <mergeCell ref="E27:F27"/>
    <mergeCell ref="C28:D28"/>
    <mergeCell ref="E28:F28"/>
    <mergeCell ref="C23:D23"/>
    <mergeCell ref="E23:F23"/>
    <mergeCell ref="C24:D24"/>
    <mergeCell ref="E24:F24"/>
    <mergeCell ref="C25:D25"/>
    <mergeCell ref="E25:F25"/>
    <mergeCell ref="C20:D20"/>
    <mergeCell ref="E20:F20"/>
    <mergeCell ref="C21:D21"/>
    <mergeCell ref="E21:F21"/>
    <mergeCell ref="C22:D22"/>
    <mergeCell ref="E22:F22"/>
    <mergeCell ref="C17:D17"/>
    <mergeCell ref="E17:F17"/>
    <mergeCell ref="C18:D18"/>
    <mergeCell ref="E18:F18"/>
    <mergeCell ref="C19:D19"/>
    <mergeCell ref="E19:F19"/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7:D7"/>
    <mergeCell ref="E7:F7"/>
    <mergeCell ref="A8:B8"/>
    <mergeCell ref="A9:B9"/>
    <mergeCell ref="A10:B10"/>
    <mergeCell ref="C10:D10"/>
    <mergeCell ref="E10:F10"/>
  </mergeCells>
  <pageMargins left="0.7" right="0.7" top="0.75" bottom="0.75" header="0.3" footer="0.3"/>
  <pageSetup paperSize="9" scale="8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1000"/>
  <sheetViews>
    <sheetView workbookViewId="0"/>
  </sheetViews>
  <sheetFormatPr defaultColWidth="12.7109375" defaultRowHeight="15" customHeight="1"/>
  <cols>
    <col min="1" max="26" width="8.7109375" customWidth="1"/>
  </cols>
  <sheetData>
    <row r="1" spans="4:4" ht="12.75" customHeight="1"/>
    <row r="2" spans="4:4" ht="12.75" customHeight="1"/>
    <row r="3" spans="4:4" ht="12.75" customHeight="1"/>
    <row r="4" spans="4:4" ht="12.75" customHeight="1"/>
    <row r="5" spans="4:4" ht="12.75" customHeight="1">
      <c r="D5" s="1">
        <v>1.0105</v>
      </c>
    </row>
    <row r="6" spans="4:4" ht="12.75" customHeight="1">
      <c r="D6" s="1">
        <v>1.01</v>
      </c>
    </row>
    <row r="7" spans="4:4" ht="12.75" customHeight="1">
      <c r="D7" s="1">
        <v>1.0095000000000001</v>
      </c>
    </row>
    <row r="8" spans="4:4" ht="12.75" customHeight="1">
      <c r="D8" s="1">
        <v>1.0089999999999999</v>
      </c>
    </row>
    <row r="9" spans="4:4" ht="12.75" customHeight="1">
      <c r="D9" s="1">
        <v>1.0085</v>
      </c>
    </row>
    <row r="10" spans="4:4" ht="12.75" customHeight="1">
      <c r="D10" s="1">
        <v>1.008</v>
      </c>
    </row>
    <row r="11" spans="4:4" ht="12.75" customHeight="1">
      <c r="D11" s="1">
        <v>1.0075000000000001</v>
      </c>
    </row>
    <row r="12" spans="4:4" ht="12.75" customHeight="1">
      <c r="D12" s="1">
        <v>1.0069999999999999</v>
      </c>
    </row>
    <row r="13" spans="4:4" ht="12.75" customHeight="1">
      <c r="D13" s="1">
        <v>1.0065</v>
      </c>
    </row>
    <row r="14" spans="4:4" ht="12.75" customHeight="1">
      <c r="D14" s="1">
        <v>1.006</v>
      </c>
    </row>
    <row r="15" spans="4:4" ht="12.75" customHeight="1">
      <c r="D15" s="1">
        <v>1.0055000000000001</v>
      </c>
    </row>
    <row r="16" spans="4:4" ht="12.75" customHeight="1">
      <c r="D16" s="1">
        <v>1.0049999999999999</v>
      </c>
    </row>
    <row r="17" spans="4:4" ht="12.75" customHeight="1">
      <c r="D17" s="1">
        <v>1.0044999999999999</v>
      </c>
    </row>
    <row r="18" spans="4:4" ht="12.75" customHeight="1">
      <c r="D18" s="1">
        <v>1.004</v>
      </c>
    </row>
    <row r="19" spans="4:4" ht="12.75" customHeight="1">
      <c r="D19" s="1">
        <v>1.0035000000000001</v>
      </c>
    </row>
    <row r="20" spans="4:4" ht="12.75" customHeight="1">
      <c r="D20" s="1">
        <v>1.0029999999999999</v>
      </c>
    </row>
    <row r="21" spans="4:4" ht="12.75" customHeight="1">
      <c r="D21" s="1">
        <v>1.0024999999999999</v>
      </c>
    </row>
    <row r="22" spans="4:4" ht="12.75" customHeight="1">
      <c r="D22" s="1">
        <v>1.002</v>
      </c>
    </row>
    <row r="23" spans="4:4" ht="12.75" customHeight="1">
      <c r="D23" s="1">
        <v>1.0015000000000001</v>
      </c>
    </row>
    <row r="24" spans="4:4" ht="12.75" customHeight="1">
      <c r="D24" s="1">
        <v>1.0009999999999999</v>
      </c>
    </row>
    <row r="25" spans="4:4" ht="12.75" customHeight="1">
      <c r="D25" s="1">
        <v>1.0004999999999999</v>
      </c>
    </row>
    <row r="26" spans="4:4" ht="12.75" customHeight="1">
      <c r="D26" s="1">
        <v>1</v>
      </c>
    </row>
    <row r="27" spans="4:4" ht="12.75" customHeight="1">
      <c r="D27" s="1">
        <v>0.99950000000000105</v>
      </c>
    </row>
    <row r="28" spans="4:4" ht="12.75" customHeight="1">
      <c r="D28" s="1">
        <v>0.999000000000001</v>
      </c>
    </row>
    <row r="29" spans="4:4" ht="12.75" customHeight="1">
      <c r="D29" s="1">
        <v>0.99850000000000105</v>
      </c>
    </row>
    <row r="30" spans="4:4" ht="12.75" customHeight="1">
      <c r="D30" s="1">
        <v>0.998000000000001</v>
      </c>
    </row>
    <row r="31" spans="4:4" ht="12.75" customHeight="1">
      <c r="D31" s="1">
        <v>0.99750000000000105</v>
      </c>
    </row>
    <row r="32" spans="4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CISS DS</vt:lpstr>
      <vt:lpstr>Sheet1</vt:lpstr>
      <vt:lpstr>'CISS DS'!Print_Area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Petr Zalizko</cp:lastModifiedBy>
  <cp:lastPrinted>2025-06-13T18:06:31Z</cp:lastPrinted>
  <dcterms:created xsi:type="dcterms:W3CDTF">2025-01-27T20:59:20Z</dcterms:created>
  <dcterms:modified xsi:type="dcterms:W3CDTF">2025-08-10T07:53:18Z</dcterms:modified>
</cp:coreProperties>
</file>